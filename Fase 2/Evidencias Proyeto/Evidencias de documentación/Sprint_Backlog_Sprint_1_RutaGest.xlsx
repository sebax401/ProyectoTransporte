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f0PMy4aK0vMpDDBLLMy3+FgoNlLogHv4UxZWjOSQiiw="/>
    </ext>
  </extLst>
</workbook>
</file>

<file path=xl/sharedStrings.xml><?xml version="1.0" encoding="utf-8"?>
<sst xmlns="http://schemas.openxmlformats.org/spreadsheetml/2006/main" count="166" uniqueCount="77">
  <si>
    <t>Lista de tareas de la iteración (Sprint Backlog): Instructivo</t>
  </si>
  <si>
    <t>Elaborado por: pmoinformatica.com</t>
  </si>
  <si>
    <t>Metodologías ágiles: Lista de tareas de la iteración</t>
  </si>
  <si>
    <t>Columna</t>
  </si>
  <si>
    <t>Instrucciones</t>
  </si>
  <si>
    <t>Código que hace referencia al elemento de la pila de producto (Product Backlog) al cual la tarea de la iteración hace referencia.</t>
  </si>
  <si>
    <t>(Sprint Backlog)</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</si>
  <si>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</si>
  <si>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Tarea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</si>
  <si>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</si>
  <si>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</si>
  <si>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</si>
  <si>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Estatus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</si>
  <si>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</si>
  <si>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</si>
  <si>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</si>
  <si>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</si>
  <si>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</si>
  <si>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</si>
  <si>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</si>
  <si>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</si>
  <si>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</si>
  <si>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</si>
  <si>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</si>
  <si>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</si>
  <si>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</si>
  <si>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</si>
  <si>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</si>
  <si>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</si>
  <si>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</si>
  <si>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</si>
  <si>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</si>
  <si>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</si>
  <si>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</si>
  <si>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</si>
  <si>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</si>
  <si>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</si>
  <si>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</si>
  <si>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</si>
  <si>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</si>
  <si>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</si>
  <si>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</si>
  <si>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</si>
  <si>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</si>
  <si>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Identificador (ID) de item de product backlog</t>
  </si>
  <si>
    <t>Enunciado del item de Product Backlog</t>
  </si>
  <si>
    <t>HU01</t>
  </si>
  <si>
    <t>Registrar vehículos</t>
  </si>
  <si>
    <t>Diseñar modelo de datos del vehículo</t>
  </si>
  <si>
    <t>Sebastián</t>
  </si>
  <si>
    <t>Por iniciar</t>
  </si>
  <si>
    <t>Crear tabla de vehículos en la base de datos</t>
  </si>
  <si>
    <t>Cristóbal</t>
  </si>
  <si>
    <t>Desarrollar API para registrar vehículos</t>
  </si>
  <si>
    <t>Implementar formulario de registro en la aplicación</t>
  </si>
  <si>
    <t>Implementar validaciones de datos</t>
  </si>
  <si>
    <t>Integrar formulario con la API</t>
  </si>
  <si>
    <t>Implementar mensajes de éxito y error</t>
  </si>
  <si>
    <t>Realizar pruebas de registro de vehículos</t>
  </si>
  <si>
    <t>HU04</t>
  </si>
  <si>
    <t>Visualizar vehículos</t>
  </si>
  <si>
    <t>Desarrollar endpoint de consulta de vehículos</t>
  </si>
  <si>
    <t>Crear listado de vehículos en la aplicación</t>
  </si>
  <si>
    <t>Mostrar características principales del vehículo</t>
  </si>
  <si>
    <t>Mostrar estado del vehículo</t>
  </si>
  <si>
    <t>Integrar listado con la API</t>
  </si>
  <si>
    <t>Realizar pruebas de visualización</t>
  </si>
  <si>
    <t>HU06</t>
  </si>
  <si>
    <t>Persistencia e integración de vehículos</t>
  </si>
  <si>
    <t>Configurar conexión con la base de datos</t>
  </si>
  <si>
    <t>Implementar persistencia de vehículos</t>
  </si>
  <si>
    <t>Desarrollar consultas de vehículos</t>
  </si>
  <si>
    <t>Integrar API con la base de datos</t>
  </si>
  <si>
    <t>Implementar manejo de errores de conexión</t>
  </si>
  <si>
    <t>Verificar almacenamiento de información</t>
  </si>
  <si>
    <t>Realizar pruebas de persistencia</t>
  </si>
  <si>
    <t>Validar integración completa del módulo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</si>
</sst>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2" fontId="1" numFmtId="0" xfId="0" applyAlignment="1" applyBorder="1" applyFill="1" applyFont="1">
      <alignment horizontal="left" shrinkToFit="0" vertical="top" wrapText="1"/>
    </xf>
    <xf borderId="3" fillId="3" fontId="4" numFmtId="0" xfId="0" applyAlignment="1" applyBorder="1" applyFill="1" applyFont="1">
      <alignment horizontal="center" shrinkToFit="0" vertical="center" wrapText="1"/>
    </xf>
    <xf borderId="4" fillId="0" fontId="5" numFmtId="0" xfId="0" applyBorder="1" applyFont="1"/>
    <xf borderId="5" fillId="3"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6" fillId="3" fontId="6" numFmtId="0" xfId="0" applyAlignment="1" applyBorder="1" applyFill="1" applyFont="1">
      <alignment horizontal="center" readingOrder="0" shrinkToFit="0" vertical="center" wrapText="1"/>
    </xf>
    <xf borderId="6" fillId="3" fontId="4" numFmtId="0" xfId="0" applyAlignment="1" applyBorder="1" applyFill="1" applyFont="1">
      <alignment horizontal="center" shrinkToFit="0" vertical="center" wrapText="1"/>
    </xf>
    <xf borderId="2" fillId="2" fontId="1" numFmtId="0" xfId="0" applyAlignment="1" applyBorder="1" applyFill="1" applyFont="1">
      <alignment horizontal="right" shrinkToFit="0" vertical="top" wrapText="1"/>
    </xf>
    <xf borderId="2" fillId="4" fontId="1" numFmtId="0" xfId="0" applyAlignment="1" applyBorder="1" applyFill="1" applyFont="1">
      <alignment horizontal="right" shrinkToFit="0" vertical="top" wrapText="1"/>
    </xf>
    <xf borderId="2" fillId="5" fontId="1" numFmtId="0" xfId="0" applyAlignment="1" applyBorder="1" applyFill="1" applyFont="1">
      <alignment horizontal="right" shrinkToFit="0" vertical="top"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2</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6</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1</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6" t="s">
        <v>24</v>
      </c>
      <c r="I4" s="7"/>
      <c r="J4" s="8"/>
      <c r="K4" s="6" t="s">
        <v>25</v>
      </c>
      <c r="L4" s="7"/>
      <c r="M4" s="8"/>
      <c r="N4" s="6" t="s">
        <v>26</v>
      </c>
      <c r="O4" s="7"/>
      <c r="P4" s="8"/>
      <c r="Q4" s="6" t="s">
        <v>27</v>
      </c>
      <c r="R4" s="7"/>
      <c r="S4" s="8"/>
      <c r="T4" s="6" t="s">
        <v>28</v>
      </c>
      <c r="U4" s="7"/>
      <c r="V4" s="8"/>
      <c r="W4" s="6" t="s">
        <v>29</v>
      </c>
      <c r="X4" s="7"/>
      <c r="Y4" s="8"/>
      <c r="Z4" s="6" t="s">
        <v>30</v>
      </c>
      <c r="AA4" s="7"/>
      <c r="AB4" s="8"/>
      <c r="AC4" s="6" t="s">
        <v>31</v>
      </c>
      <c r="AD4" s="7"/>
      <c r="AE4" s="8"/>
      <c r="AF4" s="6" t="s">
        <v>32</v>
      </c>
      <c r="AG4" s="7"/>
      <c r="AH4" s="8"/>
      <c r="AI4" s="6" t="s">
        <v>33</v>
      </c>
      <c r="AJ4" s="7"/>
      <c r="AK4" s="8"/>
      <c r="AL4" s="6" t="s">
        <v>34</v>
      </c>
      <c r="AM4" s="7"/>
      <c r="AN4" s="8"/>
      <c r="AO4" s="6" t="s">
        <v>35</v>
      </c>
      <c r="AP4" s="7"/>
      <c r="AQ4" s="8"/>
      <c r="AR4" s="6" t="s">
        <v>36</v>
      </c>
      <c r="AS4" s="7"/>
      <c r="AT4" s="8"/>
      <c r="AU4" s="6" t="s">
        <v>37</v>
      </c>
      <c r="AV4" s="7"/>
      <c r="AW4" s="8"/>
      <c r="AX4" s="6" t="s">
        <v>38</v>
      </c>
      <c r="AY4" s="7"/>
      <c r="AZ4" s="8"/>
      <c r="BA4" s="6" t="s">
        <v>39</v>
      </c>
      <c r="BB4" s="7"/>
      <c r="BC4" s="8"/>
      <c r="BD4" s="6" t="s">
        <v>40</v>
      </c>
      <c r="BE4" s="7"/>
      <c r="BF4" s="8"/>
      <c r="BG4" s="6" t="s">
        <v>41</v>
      </c>
      <c r="BH4" s="7"/>
      <c r="BI4" s="8"/>
      <c r="BJ4" s="6" t="s">
        <v>42</v>
      </c>
      <c r="BK4" s="7"/>
      <c r="BL4" s="8"/>
      <c r="BM4" s="6" t="s">
        <v>43</v>
      </c>
      <c r="BN4" s="7"/>
      <c r="BO4" s="8"/>
      <c r="BP4" s="6" t="s">
        <v>22</v>
      </c>
      <c r="BQ4" s="7"/>
    </row>
    <row r="5">
      <c r="A5" s="1"/>
      <c r="B5" s="9" t="s">
        <v>44</v>
      </c>
      <c r="C5" s="9" t="s">
        <v>45</v>
      </c>
      <c r="D5" s="9" t="s">
        <v>8</v>
      </c>
      <c r="E5" s="9" t="s">
        <v>10</v>
      </c>
      <c r="F5" s="9" t="s">
        <v>12</v>
      </c>
      <c r="G5" s="9" t="s">
        <v>14</v>
      </c>
      <c r="H5" s="10" t="s">
        <v>18</v>
      </c>
      <c r="I5" s="11" t="s">
        <v>20</v>
      </c>
      <c r="J5" s="11"/>
      <c r="K5" s="11" t="s">
        <v>18</v>
      </c>
      <c r="L5" s="11" t="s">
        <v>20</v>
      </c>
      <c r="M5" s="11"/>
      <c r="N5" s="11" t="s">
        <v>18</v>
      </c>
      <c r="O5" s="11" t="s">
        <v>20</v>
      </c>
      <c r="P5" s="11"/>
      <c r="Q5" s="11" t="s">
        <v>18</v>
      </c>
      <c r="R5" s="11" t="s">
        <v>20</v>
      </c>
      <c r="S5" s="11"/>
      <c r="T5" s="11" t="s">
        <v>18</v>
      </c>
      <c r="U5" s="11" t="s">
        <v>20</v>
      </c>
      <c r="V5" s="11"/>
      <c r="W5" s="11" t="s">
        <v>18</v>
      </c>
      <c r="X5" s="11" t="s">
        <v>20</v>
      </c>
      <c r="Y5" s="11"/>
      <c r="Z5" s="11" t="s">
        <v>18</v>
      </c>
      <c r="AA5" s="11" t="s">
        <v>20</v>
      </c>
      <c r="AB5" s="11"/>
      <c r="AC5" s="11" t="s">
        <v>18</v>
      </c>
      <c r="AD5" s="11" t="s">
        <v>20</v>
      </c>
      <c r="AE5" s="11"/>
      <c r="AF5" s="11" t="s">
        <v>18</v>
      </c>
      <c r="AG5" s="11" t="s">
        <v>20</v>
      </c>
      <c r="AH5" s="11"/>
      <c r="AI5" s="11" t="s">
        <v>18</v>
      </c>
      <c r="AJ5" s="11" t="s">
        <v>20</v>
      </c>
      <c r="AK5" s="11"/>
      <c r="AL5" s="11" t="s">
        <v>18</v>
      </c>
      <c r="AM5" s="11" t="s">
        <v>20</v>
      </c>
      <c r="AN5" s="11"/>
      <c r="AO5" s="11" t="s">
        <v>18</v>
      </c>
      <c r="AP5" s="11" t="s">
        <v>20</v>
      </c>
      <c r="AQ5" s="11"/>
      <c r="AR5" s="11" t="s">
        <v>18</v>
      </c>
      <c r="AS5" s="11" t="s">
        <v>20</v>
      </c>
      <c r="AT5" s="11"/>
      <c r="AU5" s="11" t="s">
        <v>18</v>
      </c>
      <c r="AV5" s="11" t="s">
        <v>20</v>
      </c>
      <c r="AW5" s="11"/>
      <c r="AX5" s="11" t="s">
        <v>18</v>
      </c>
      <c r="AY5" s="11" t="s">
        <v>20</v>
      </c>
      <c r="AZ5" s="11"/>
      <c r="BA5" s="11" t="s">
        <v>18</v>
      </c>
      <c r="BB5" s="11" t="s">
        <v>20</v>
      </c>
      <c r="BC5" s="11"/>
      <c r="BD5" s="11" t="s">
        <v>18</v>
      </c>
      <c r="BE5" s="11" t="s">
        <v>20</v>
      </c>
      <c r="BF5" s="11"/>
      <c r="BG5" s="11" t="s">
        <v>18</v>
      </c>
      <c r="BH5" s="11" t="s">
        <v>20</v>
      </c>
      <c r="BI5" s="11"/>
      <c r="BJ5" s="11" t="s">
        <v>18</v>
      </c>
      <c r="BK5" s="11" t="s">
        <v>20</v>
      </c>
      <c r="BL5" s="11"/>
      <c r="BM5" s="11" t="s">
        <v>18</v>
      </c>
      <c r="BN5" s="11" t="s">
        <v>20</v>
      </c>
      <c r="BO5" s="11"/>
      <c r="BP5" s="11" t="s">
        <v>18</v>
      </c>
      <c r="BQ5" s="11" t="s">
        <v>20</v>
      </c>
    </row>
    <row r="6">
      <c r="A6" s="1"/>
      <c r="B6" s="5" t="s">
        <v>46</v>
      </c>
      <c r="C6" s="5" t="s">
        <v>47</v>
      </c>
      <c r="D6" s="5" t="s">
        <v>48</v>
      </c>
      <c r="E6" s="5" t="s">
        <v>49</v>
      </c>
      <c r="F6" s="5" t="s">
        <v>50</v>
      </c>
      <c r="G6" s="5">
        <v>4.0</v>
      </c>
      <c r="H6" s="12"/>
      <c r="I6" s="12">
        <f t="shared" ref="I6:I27" si="1">G6-H6</f>
        <v>4</v>
      </c>
      <c r="J6" s="13"/>
      <c r="K6" s="12"/>
      <c r="L6" s="12">
        <f t="shared" ref="L6:L27" si="2">I6-K6</f>
        <v>4</v>
      </c>
      <c r="M6" s="13"/>
      <c r="N6" s="12"/>
      <c r="O6" s="12">
        <f t="shared" ref="O6:O27" si="3">L6-N6</f>
        <v>4</v>
      </c>
      <c r="P6" s="13"/>
      <c r="Q6" s="12"/>
      <c r="R6" s="12">
        <f t="shared" ref="R6:R27" si="4">O6-Q6</f>
        <v>4</v>
      </c>
      <c r="S6" s="13"/>
      <c r="T6" s="12"/>
      <c r="U6" s="12">
        <f t="shared" ref="U6:U27" si="5">R6-T6</f>
        <v>4</v>
      </c>
      <c r="V6" s="13"/>
      <c r="W6" s="12"/>
      <c r="X6" s="12">
        <f t="shared" ref="X6:X27" si="6">U6-W6</f>
        <v>4</v>
      </c>
      <c r="Y6" s="13"/>
      <c r="Z6" s="12"/>
      <c r="AA6" s="12">
        <f t="shared" ref="AA6:AA27" si="7">X6-Z6</f>
        <v>4</v>
      </c>
      <c r="AB6" s="13"/>
      <c r="AC6" s="12"/>
      <c r="AD6" s="12">
        <f t="shared" ref="AD6:AD27" si="8">AA6-AC6</f>
        <v>4</v>
      </c>
      <c r="AE6" s="13"/>
      <c r="AF6" s="12"/>
      <c r="AG6" s="12">
        <f t="shared" ref="AG6:AG27" si="9">AD6-AF6</f>
        <v>4</v>
      </c>
      <c r="AH6" s="13"/>
      <c r="AI6" s="12"/>
      <c r="AJ6" s="12">
        <f t="shared" ref="AJ6:AJ27" si="10">AG6-AI6</f>
        <v>4</v>
      </c>
      <c r="AK6" s="13"/>
      <c r="AL6" s="12"/>
      <c r="AM6" s="12">
        <f t="shared" ref="AM6:AM27" si="11">AJ6-AL6</f>
        <v>4</v>
      </c>
      <c r="AN6" s="13"/>
      <c r="AO6" s="12"/>
      <c r="AP6" s="12">
        <f t="shared" ref="AP6:AP27" si="12">AM6-AO6</f>
        <v>4</v>
      </c>
      <c r="AQ6" s="13"/>
      <c r="AR6" s="12"/>
      <c r="AS6" s="12">
        <f t="shared" ref="AS6:AS27" si="13">AP6-AR6</f>
        <v>4</v>
      </c>
      <c r="AT6" s="13"/>
      <c r="AU6" s="12"/>
      <c r="AV6" s="12">
        <f t="shared" ref="AV6:AV27" si="14">AS6-AU6</f>
        <v>4</v>
      </c>
      <c r="AW6" s="13"/>
      <c r="AX6" s="12"/>
      <c r="AY6" s="12">
        <f t="shared" ref="AY6:AY27" si="15">AV6-AX6</f>
        <v>4</v>
      </c>
      <c r="AZ6" s="13"/>
      <c r="BA6" s="12"/>
      <c r="BB6" s="12">
        <f t="shared" ref="BB6:BB27" si="16">AY6-BA6</f>
        <v>4</v>
      </c>
      <c r="BC6" s="13"/>
      <c r="BD6" s="12"/>
      <c r="BE6" s="12">
        <f t="shared" ref="BE6:BE27" si="17">BB6-BD6</f>
        <v>4</v>
      </c>
      <c r="BF6" s="13"/>
      <c r="BG6" s="12"/>
      <c r="BH6" s="12">
        <f t="shared" ref="BH6:BH27" si="18">BE6-BG6</f>
        <v>4</v>
      </c>
      <c r="BI6" s="13"/>
      <c r="BJ6" s="12"/>
      <c r="BK6" s="12">
        <f t="shared" ref="BK6:BK27" si="19">BH6-BJ6</f>
        <v>4</v>
      </c>
      <c r="BL6" s="13"/>
      <c r="BM6" s="12"/>
      <c r="BN6" s="12">
        <f t="shared" ref="BN6:BN27" si="20">BK6-BM6</f>
        <v>4</v>
      </c>
      <c r="BO6" s="13"/>
      <c r="BP6" s="14">
        <f t="shared" ref="BP6:BP27" si="21">H6+K6+N6+Q6+T6+W6+Z6+AC6+AF6+AI6+AL6+AO6+AR6+AU6+AX6+BA6+BD6+BG6+BJ6+BM6</f>
        <v>0</v>
      </c>
      <c r="BQ6" s="14">
        <f t="shared" ref="BQ6:BQ27" si="22">G6-BP6</f>
        <v>4</v>
      </c>
    </row>
    <row r="7">
      <c r="A7" s="1"/>
      <c r="B7" s="5"/>
      <c r="C7" s="5"/>
      <c r="D7" s="5" t="s">
        <v>51</v>
      </c>
      <c r="E7" s="5" t="s">
        <v>52</v>
      </c>
      <c r="F7" s="5" t="s">
        <v>50</v>
      </c>
      <c r="G7" s="5">
        <v>4.0</v>
      </c>
      <c r="H7" s="12"/>
      <c r="I7" s="12">
        <f t="shared" si="1"/>
        <v>4</v>
      </c>
      <c r="J7" s="13"/>
      <c r="K7" s="12"/>
      <c r="L7" s="12">
        <f t="shared" si="2"/>
        <v>4</v>
      </c>
      <c r="M7" s="13"/>
      <c r="N7" s="12"/>
      <c r="O7" s="12">
        <f t="shared" si="3"/>
        <v>4</v>
      </c>
      <c r="P7" s="13"/>
      <c r="Q7" s="12"/>
      <c r="R7" s="12">
        <f t="shared" si="4"/>
        <v>4</v>
      </c>
      <c r="S7" s="13"/>
      <c r="T7" s="12"/>
      <c r="U7" s="12">
        <f t="shared" si="5"/>
        <v>4</v>
      </c>
      <c r="V7" s="13"/>
      <c r="W7" s="12"/>
      <c r="X7" s="12">
        <f t="shared" si="6"/>
        <v>4</v>
      </c>
      <c r="Y7" s="13"/>
      <c r="Z7" s="12"/>
      <c r="AA7" s="12">
        <f t="shared" si="7"/>
        <v>4</v>
      </c>
      <c r="AB7" s="13"/>
      <c r="AC7" s="12"/>
      <c r="AD7" s="12">
        <f t="shared" si="8"/>
        <v>4</v>
      </c>
      <c r="AE7" s="13"/>
      <c r="AF7" s="12"/>
      <c r="AG7" s="12">
        <f t="shared" si="9"/>
        <v>4</v>
      </c>
      <c r="AH7" s="13"/>
      <c r="AI7" s="12"/>
      <c r="AJ7" s="12">
        <f t="shared" si="10"/>
        <v>4</v>
      </c>
      <c r="AK7" s="13"/>
      <c r="AL7" s="12"/>
      <c r="AM7" s="12">
        <f t="shared" si="11"/>
        <v>4</v>
      </c>
      <c r="AN7" s="13"/>
      <c r="AO7" s="12"/>
      <c r="AP7" s="12">
        <f t="shared" si="12"/>
        <v>4</v>
      </c>
      <c r="AQ7" s="13"/>
      <c r="AR7" s="12"/>
      <c r="AS7" s="12">
        <f t="shared" si="13"/>
        <v>4</v>
      </c>
      <c r="AT7" s="13"/>
      <c r="AU7" s="12"/>
      <c r="AV7" s="12">
        <f t="shared" si="14"/>
        <v>4</v>
      </c>
      <c r="AW7" s="13"/>
      <c r="AX7" s="12"/>
      <c r="AY7" s="12">
        <f t="shared" si="15"/>
        <v>4</v>
      </c>
      <c r="AZ7" s="13"/>
      <c r="BA7" s="12"/>
      <c r="BB7" s="12">
        <f t="shared" si="16"/>
        <v>4</v>
      </c>
      <c r="BC7" s="13"/>
      <c r="BD7" s="12"/>
      <c r="BE7" s="12">
        <f t="shared" si="17"/>
        <v>4</v>
      </c>
      <c r="BF7" s="13"/>
      <c r="BG7" s="12"/>
      <c r="BH7" s="12">
        <f t="shared" si="18"/>
        <v>4</v>
      </c>
      <c r="BI7" s="13"/>
      <c r="BJ7" s="12"/>
      <c r="BK7" s="12">
        <f t="shared" si="19"/>
        <v>4</v>
      </c>
      <c r="BL7" s="13"/>
      <c r="BM7" s="12"/>
      <c r="BN7" s="12">
        <f t="shared" si="20"/>
        <v>4</v>
      </c>
      <c r="BO7" s="13"/>
      <c r="BP7" s="14">
        <f t="shared" si="21"/>
        <v>0</v>
      </c>
      <c r="BQ7" s="14">
        <f t="shared" si="22"/>
        <v>4</v>
      </c>
    </row>
    <row r="8">
      <c r="A8" s="1"/>
      <c r="B8" s="5"/>
      <c r="C8" s="5"/>
      <c r="D8" s="5" t="s">
        <v>53</v>
      </c>
      <c r="E8" s="5" t="s">
        <v>49</v>
      </c>
      <c r="F8" s="5" t="s">
        <v>50</v>
      </c>
      <c r="G8" s="5">
        <v>8.0</v>
      </c>
      <c r="H8" s="12"/>
      <c r="I8" s="12">
        <f t="shared" si="1"/>
        <v>8</v>
      </c>
      <c r="J8" s="13"/>
      <c r="K8" s="12"/>
      <c r="L8" s="12">
        <f t="shared" si="2"/>
        <v>8</v>
      </c>
      <c r="M8" s="13"/>
      <c r="N8" s="12"/>
      <c r="O8" s="12">
        <f t="shared" si="3"/>
        <v>8</v>
      </c>
      <c r="P8" s="13"/>
      <c r="Q8" s="12"/>
      <c r="R8" s="12">
        <f t="shared" si="4"/>
        <v>8</v>
      </c>
      <c r="S8" s="13"/>
      <c r="T8" s="12"/>
      <c r="U8" s="12">
        <f t="shared" si="5"/>
        <v>8</v>
      </c>
      <c r="V8" s="13"/>
      <c r="W8" s="12"/>
      <c r="X8" s="12">
        <f t="shared" si="6"/>
        <v>8</v>
      </c>
      <c r="Y8" s="13"/>
      <c r="Z8" s="12"/>
      <c r="AA8" s="12">
        <f t="shared" si="7"/>
        <v>8</v>
      </c>
      <c r="AB8" s="13"/>
      <c r="AC8" s="12"/>
      <c r="AD8" s="12">
        <f t="shared" si="8"/>
        <v>8</v>
      </c>
      <c r="AE8" s="13"/>
      <c r="AF8" s="12"/>
      <c r="AG8" s="12">
        <f t="shared" si="9"/>
        <v>8</v>
      </c>
      <c r="AH8" s="13"/>
      <c r="AI8" s="12"/>
      <c r="AJ8" s="12">
        <f t="shared" si="10"/>
        <v>8</v>
      </c>
      <c r="AK8" s="13"/>
      <c r="AL8" s="12"/>
      <c r="AM8" s="12">
        <f t="shared" si="11"/>
        <v>8</v>
      </c>
      <c r="AN8" s="13"/>
      <c r="AO8" s="12"/>
      <c r="AP8" s="12">
        <f t="shared" si="12"/>
        <v>8</v>
      </c>
      <c r="AQ8" s="13"/>
      <c r="AR8" s="12"/>
      <c r="AS8" s="12">
        <f t="shared" si="13"/>
        <v>8</v>
      </c>
      <c r="AT8" s="13"/>
      <c r="AU8" s="12"/>
      <c r="AV8" s="12">
        <f t="shared" si="14"/>
        <v>8</v>
      </c>
      <c r="AW8" s="13"/>
      <c r="AX8" s="12"/>
      <c r="AY8" s="12">
        <f t="shared" si="15"/>
        <v>8</v>
      </c>
      <c r="AZ8" s="13"/>
      <c r="BA8" s="12"/>
      <c r="BB8" s="12">
        <f t="shared" si="16"/>
        <v>8</v>
      </c>
      <c r="BC8" s="13"/>
      <c r="BD8" s="12"/>
      <c r="BE8" s="12">
        <f t="shared" si="17"/>
        <v>8</v>
      </c>
      <c r="BF8" s="13"/>
      <c r="BG8" s="12"/>
      <c r="BH8" s="12">
        <f t="shared" si="18"/>
        <v>8</v>
      </c>
      <c r="BI8" s="13"/>
      <c r="BJ8" s="12"/>
      <c r="BK8" s="12">
        <f t="shared" si="19"/>
        <v>8</v>
      </c>
      <c r="BL8" s="13"/>
      <c r="BM8" s="12"/>
      <c r="BN8" s="12">
        <f t="shared" si="20"/>
        <v>8</v>
      </c>
      <c r="BO8" s="13"/>
      <c r="BP8" s="14">
        <f t="shared" si="21"/>
        <v>0</v>
      </c>
      <c r="BQ8" s="14">
        <f t="shared" si="22"/>
        <v>8</v>
      </c>
    </row>
    <row r="9">
      <c r="A9" s="1"/>
      <c r="B9" s="5"/>
      <c r="C9" s="5"/>
      <c r="D9" s="5" t="s">
        <v>54</v>
      </c>
      <c r="E9" s="5" t="s">
        <v>52</v>
      </c>
      <c r="F9" s="5" t="s">
        <v>50</v>
      </c>
      <c r="G9" s="5">
        <v>6.0</v>
      </c>
      <c r="H9" s="12"/>
      <c r="I9" s="12">
        <f t="shared" si="1"/>
        <v>6</v>
      </c>
      <c r="J9" s="13"/>
      <c r="K9" s="12"/>
      <c r="L9" s="12">
        <f t="shared" si="2"/>
        <v>6</v>
      </c>
      <c r="M9" s="13"/>
      <c r="N9" s="12"/>
      <c r="O9" s="12">
        <f t="shared" si="3"/>
        <v>6</v>
      </c>
      <c r="P9" s="13"/>
      <c r="Q9" s="12"/>
      <c r="R9" s="12">
        <f t="shared" si="4"/>
        <v>6</v>
      </c>
      <c r="S9" s="13"/>
      <c r="T9" s="12"/>
      <c r="U9" s="12">
        <f t="shared" si="5"/>
        <v>6</v>
      </c>
      <c r="V9" s="13"/>
      <c r="W9" s="12"/>
      <c r="X9" s="12">
        <f t="shared" si="6"/>
        <v>6</v>
      </c>
      <c r="Y9" s="13"/>
      <c r="Z9" s="12"/>
      <c r="AA9" s="12">
        <f t="shared" si="7"/>
        <v>6</v>
      </c>
      <c r="AB9" s="13"/>
      <c r="AC9" s="12"/>
      <c r="AD9" s="12">
        <f t="shared" si="8"/>
        <v>6</v>
      </c>
      <c r="AE9" s="13"/>
      <c r="AF9" s="12"/>
      <c r="AG9" s="12">
        <f t="shared" si="9"/>
        <v>6</v>
      </c>
      <c r="AH9" s="13"/>
      <c r="AI9" s="12"/>
      <c r="AJ9" s="12">
        <f t="shared" si="10"/>
        <v>6</v>
      </c>
      <c r="AK9" s="13"/>
      <c r="AL9" s="12"/>
      <c r="AM9" s="12">
        <f t="shared" si="11"/>
        <v>6</v>
      </c>
      <c r="AN9" s="13"/>
      <c r="AO9" s="12"/>
      <c r="AP9" s="12">
        <f t="shared" si="12"/>
        <v>6</v>
      </c>
      <c r="AQ9" s="13"/>
      <c r="AR9" s="12"/>
      <c r="AS9" s="12">
        <f t="shared" si="13"/>
        <v>6</v>
      </c>
      <c r="AT9" s="13"/>
      <c r="AU9" s="12"/>
      <c r="AV9" s="12">
        <f t="shared" si="14"/>
        <v>6</v>
      </c>
      <c r="AW9" s="13"/>
      <c r="AX9" s="12"/>
      <c r="AY9" s="12">
        <f t="shared" si="15"/>
        <v>6</v>
      </c>
      <c r="AZ9" s="13"/>
      <c r="BA9" s="12"/>
      <c r="BB9" s="12">
        <f t="shared" si="16"/>
        <v>6</v>
      </c>
      <c r="BC9" s="13"/>
      <c r="BD9" s="12"/>
      <c r="BE9" s="12">
        <f t="shared" si="17"/>
        <v>6</v>
      </c>
      <c r="BF9" s="13"/>
      <c r="BG9" s="12"/>
      <c r="BH9" s="12">
        <f t="shared" si="18"/>
        <v>6</v>
      </c>
      <c r="BI9" s="13"/>
      <c r="BJ9" s="12"/>
      <c r="BK9" s="12">
        <f t="shared" si="19"/>
        <v>6</v>
      </c>
      <c r="BL9" s="13"/>
      <c r="BM9" s="12"/>
      <c r="BN9" s="12">
        <f t="shared" si="20"/>
        <v>6</v>
      </c>
      <c r="BO9" s="13"/>
      <c r="BP9" s="14">
        <f t="shared" si="21"/>
        <v>0</v>
      </c>
      <c r="BQ9" s="14">
        <f t="shared" si="22"/>
        <v>6</v>
      </c>
    </row>
    <row r="10">
      <c r="A10" s="1"/>
      <c r="B10" s="5"/>
      <c r="C10" s="5"/>
      <c r="D10" s="5" t="s">
        <v>55</v>
      </c>
      <c r="E10" s="5" t="s">
        <v>49</v>
      </c>
      <c r="F10" s="5" t="s">
        <v>50</v>
      </c>
      <c r="G10" s="5">
        <v>4.0</v>
      </c>
      <c r="H10" s="12"/>
      <c r="I10" s="12">
        <f t="shared" si="1"/>
        <v>4</v>
      </c>
      <c r="J10" s="13"/>
      <c r="K10" s="12"/>
      <c r="L10" s="12">
        <f t="shared" si="2"/>
        <v>4</v>
      </c>
      <c r="M10" s="13"/>
      <c r="N10" s="12"/>
      <c r="O10" s="12">
        <f t="shared" si="3"/>
        <v>4</v>
      </c>
      <c r="P10" s="13"/>
      <c r="Q10" s="12"/>
      <c r="R10" s="12">
        <f t="shared" si="4"/>
        <v>4</v>
      </c>
      <c r="S10" s="13"/>
      <c r="T10" s="12"/>
      <c r="U10" s="12">
        <f t="shared" si="5"/>
        <v>4</v>
      </c>
      <c r="V10" s="13"/>
      <c r="W10" s="12"/>
      <c r="X10" s="12">
        <f t="shared" si="6"/>
        <v>4</v>
      </c>
      <c r="Y10" s="13"/>
      <c r="Z10" s="12"/>
      <c r="AA10" s="12">
        <f t="shared" si="7"/>
        <v>4</v>
      </c>
      <c r="AB10" s="13"/>
      <c r="AC10" s="12"/>
      <c r="AD10" s="12">
        <f t="shared" si="8"/>
        <v>4</v>
      </c>
      <c r="AE10" s="13"/>
      <c r="AF10" s="12"/>
      <c r="AG10" s="12">
        <f t="shared" si="9"/>
        <v>4</v>
      </c>
      <c r="AH10" s="13"/>
      <c r="AI10" s="12"/>
      <c r="AJ10" s="12">
        <f t="shared" si="10"/>
        <v>4</v>
      </c>
      <c r="AK10" s="13"/>
      <c r="AL10" s="12"/>
      <c r="AM10" s="12">
        <f t="shared" si="11"/>
        <v>4</v>
      </c>
      <c r="AN10" s="13"/>
      <c r="AO10" s="12"/>
      <c r="AP10" s="12">
        <f t="shared" si="12"/>
        <v>4</v>
      </c>
      <c r="AQ10" s="13"/>
      <c r="AR10" s="12"/>
      <c r="AS10" s="12">
        <f t="shared" si="13"/>
        <v>4</v>
      </c>
      <c r="AT10" s="13"/>
      <c r="AU10" s="12"/>
      <c r="AV10" s="12">
        <f t="shared" si="14"/>
        <v>4</v>
      </c>
      <c r="AW10" s="13"/>
      <c r="AX10" s="12"/>
      <c r="AY10" s="12">
        <f t="shared" si="15"/>
        <v>4</v>
      </c>
      <c r="AZ10" s="13"/>
      <c r="BA10" s="12"/>
      <c r="BB10" s="12">
        <f t="shared" si="16"/>
        <v>4</v>
      </c>
      <c r="BC10" s="13"/>
      <c r="BD10" s="12"/>
      <c r="BE10" s="12">
        <f t="shared" si="17"/>
        <v>4</v>
      </c>
      <c r="BF10" s="13"/>
      <c r="BG10" s="12"/>
      <c r="BH10" s="12">
        <f t="shared" si="18"/>
        <v>4</v>
      </c>
      <c r="BI10" s="13"/>
      <c r="BJ10" s="12"/>
      <c r="BK10" s="12">
        <f t="shared" si="19"/>
        <v>4</v>
      </c>
      <c r="BL10" s="13"/>
      <c r="BM10" s="12"/>
      <c r="BN10" s="12">
        <f t="shared" si="20"/>
        <v>4</v>
      </c>
      <c r="BO10" s="13"/>
      <c r="BP10" s="14">
        <f t="shared" si="21"/>
        <v>0</v>
      </c>
      <c r="BQ10" s="14">
        <f t="shared" si="22"/>
        <v>4</v>
      </c>
    </row>
    <row r="11">
      <c r="A11" s="1"/>
      <c r="B11" s="5"/>
      <c r="C11" s="5"/>
      <c r="D11" s="5" t="s">
        <v>56</v>
      </c>
      <c r="E11" s="5" t="s">
        <v>52</v>
      </c>
      <c r="F11" s="5" t="s">
        <v>50</v>
      </c>
      <c r="G11" s="5">
        <v>6.0</v>
      </c>
      <c r="H11" s="12"/>
      <c r="I11" s="12">
        <f t="shared" si="1"/>
        <v>6</v>
      </c>
      <c r="J11" s="13"/>
      <c r="K11" s="12"/>
      <c r="L11" s="12">
        <f t="shared" si="2"/>
        <v>6</v>
      </c>
      <c r="M11" s="13"/>
      <c r="N11" s="12"/>
      <c r="O11" s="12">
        <f t="shared" si="3"/>
        <v>6</v>
      </c>
      <c r="P11" s="13"/>
      <c r="Q11" s="12"/>
      <c r="R11" s="12">
        <f t="shared" si="4"/>
        <v>6</v>
      </c>
      <c r="S11" s="13"/>
      <c r="T11" s="12"/>
      <c r="U11" s="12">
        <f t="shared" si="5"/>
        <v>6</v>
      </c>
      <c r="V11" s="13"/>
      <c r="W11" s="12"/>
      <c r="X11" s="12">
        <f t="shared" si="6"/>
        <v>6</v>
      </c>
      <c r="Y11" s="13"/>
      <c r="Z11" s="12"/>
      <c r="AA11" s="12">
        <f t="shared" si="7"/>
        <v>6</v>
      </c>
      <c r="AB11" s="13"/>
      <c r="AC11" s="12"/>
      <c r="AD11" s="12">
        <f t="shared" si="8"/>
        <v>6</v>
      </c>
      <c r="AE11" s="13"/>
      <c r="AF11" s="12"/>
      <c r="AG11" s="12">
        <f t="shared" si="9"/>
        <v>6</v>
      </c>
      <c r="AH11" s="13"/>
      <c r="AI11" s="12"/>
      <c r="AJ11" s="12">
        <f t="shared" si="10"/>
        <v>6</v>
      </c>
      <c r="AK11" s="13"/>
      <c r="AL11" s="12"/>
      <c r="AM11" s="12">
        <f t="shared" si="11"/>
        <v>6</v>
      </c>
      <c r="AN11" s="13"/>
      <c r="AO11" s="12"/>
      <c r="AP11" s="12">
        <f t="shared" si="12"/>
        <v>6</v>
      </c>
      <c r="AQ11" s="13"/>
      <c r="AR11" s="12"/>
      <c r="AS11" s="12">
        <f t="shared" si="13"/>
        <v>6</v>
      </c>
      <c r="AT11" s="13"/>
      <c r="AU11" s="12"/>
      <c r="AV11" s="12">
        <f t="shared" si="14"/>
        <v>6</v>
      </c>
      <c r="AW11" s="13"/>
      <c r="AX11" s="12"/>
      <c r="AY11" s="12">
        <f t="shared" si="15"/>
        <v>6</v>
      </c>
      <c r="AZ11" s="13"/>
      <c r="BA11" s="12"/>
      <c r="BB11" s="12">
        <f t="shared" si="16"/>
        <v>6</v>
      </c>
      <c r="BC11" s="13"/>
      <c r="BD11" s="12"/>
      <c r="BE11" s="12">
        <f t="shared" si="17"/>
        <v>6</v>
      </c>
      <c r="BF11" s="13"/>
      <c r="BG11" s="12"/>
      <c r="BH11" s="12">
        <f t="shared" si="18"/>
        <v>6</v>
      </c>
      <c r="BI11" s="13"/>
      <c r="BJ11" s="12"/>
      <c r="BK11" s="12">
        <f t="shared" si="19"/>
        <v>6</v>
      </c>
      <c r="BL11" s="13"/>
      <c r="BM11" s="12"/>
      <c r="BN11" s="12">
        <f t="shared" si="20"/>
        <v>6</v>
      </c>
      <c r="BO11" s="13"/>
      <c r="BP11" s="14">
        <f t="shared" si="21"/>
        <v>0</v>
      </c>
      <c r="BQ11" s="14">
        <f t="shared" si="22"/>
        <v>6</v>
      </c>
    </row>
    <row r="12">
      <c r="A12" s="1"/>
      <c r="B12" s="5"/>
      <c r="C12" s="5"/>
      <c r="D12" s="5" t="s">
        <v>57</v>
      </c>
      <c r="E12" s="5" t="s">
        <v>49</v>
      </c>
      <c r="F12" s="5" t="s">
        <v>50</v>
      </c>
      <c r="G12" s="5">
        <v>2.0</v>
      </c>
      <c r="H12" s="12"/>
      <c r="I12" s="12">
        <f t="shared" si="1"/>
        <v>2</v>
      </c>
      <c r="J12" s="13"/>
      <c r="K12" s="12"/>
      <c r="L12" s="12">
        <f t="shared" si="2"/>
        <v>2</v>
      </c>
      <c r="M12" s="13"/>
      <c r="N12" s="12"/>
      <c r="O12" s="12">
        <f t="shared" si="3"/>
        <v>2</v>
      </c>
      <c r="P12" s="13"/>
      <c r="Q12" s="12"/>
      <c r="R12" s="12">
        <f t="shared" si="4"/>
        <v>2</v>
      </c>
      <c r="S12" s="13"/>
      <c r="T12" s="12"/>
      <c r="U12" s="12">
        <f t="shared" si="5"/>
        <v>2</v>
      </c>
      <c r="V12" s="13"/>
      <c r="W12" s="12"/>
      <c r="X12" s="12">
        <f t="shared" si="6"/>
        <v>2</v>
      </c>
      <c r="Y12" s="13"/>
      <c r="Z12" s="12"/>
      <c r="AA12" s="12">
        <f t="shared" si="7"/>
        <v>2</v>
      </c>
      <c r="AB12" s="13"/>
      <c r="AC12" s="12"/>
      <c r="AD12" s="12">
        <f t="shared" si="8"/>
        <v>2</v>
      </c>
      <c r="AE12" s="13"/>
      <c r="AF12" s="12"/>
      <c r="AG12" s="12">
        <f t="shared" si="9"/>
        <v>2</v>
      </c>
      <c r="AH12" s="13"/>
      <c r="AI12" s="12"/>
      <c r="AJ12" s="12">
        <f t="shared" si="10"/>
        <v>2</v>
      </c>
      <c r="AK12" s="13"/>
      <c r="AL12" s="12"/>
      <c r="AM12" s="12">
        <f t="shared" si="11"/>
        <v>2</v>
      </c>
      <c r="AN12" s="13"/>
      <c r="AO12" s="12"/>
      <c r="AP12" s="12">
        <f t="shared" si="12"/>
        <v>2</v>
      </c>
      <c r="AQ12" s="13"/>
      <c r="AR12" s="12"/>
      <c r="AS12" s="12">
        <f t="shared" si="13"/>
        <v>2</v>
      </c>
      <c r="AT12" s="13"/>
      <c r="AU12" s="12"/>
      <c r="AV12" s="12">
        <f t="shared" si="14"/>
        <v>2</v>
      </c>
      <c r="AW12" s="13"/>
      <c r="AX12" s="12"/>
      <c r="AY12" s="12">
        <f t="shared" si="15"/>
        <v>2</v>
      </c>
      <c r="AZ12" s="13"/>
      <c r="BA12" s="12"/>
      <c r="BB12" s="12">
        <f t="shared" si="16"/>
        <v>2</v>
      </c>
      <c r="BC12" s="13"/>
      <c r="BD12" s="12"/>
      <c r="BE12" s="12">
        <f t="shared" si="17"/>
        <v>2</v>
      </c>
      <c r="BF12" s="13"/>
      <c r="BG12" s="12"/>
      <c r="BH12" s="12">
        <f t="shared" si="18"/>
        <v>2</v>
      </c>
      <c r="BI12" s="13"/>
      <c r="BJ12" s="12"/>
      <c r="BK12" s="12">
        <f t="shared" si="19"/>
        <v>2</v>
      </c>
      <c r="BL12" s="13"/>
      <c r="BM12" s="12"/>
      <c r="BN12" s="12">
        <f t="shared" si="20"/>
        <v>2</v>
      </c>
      <c r="BO12" s="13"/>
      <c r="BP12" s="14">
        <f t="shared" si="21"/>
        <v>0</v>
      </c>
      <c r="BQ12" s="14">
        <f t="shared" si="22"/>
        <v>2</v>
      </c>
    </row>
    <row r="13">
      <c r="A13" s="1"/>
      <c r="B13" s="5"/>
      <c r="C13" s="5"/>
      <c r="D13" s="5" t="s">
        <v>58</v>
      </c>
      <c r="E13" s="5" t="s">
        <v>52</v>
      </c>
      <c r="F13" s="5" t="s">
        <v>50</v>
      </c>
      <c r="G13" s="5">
        <v>4.0</v>
      </c>
      <c r="H13" s="12"/>
      <c r="I13" s="12">
        <f t="shared" si="1"/>
        <v>4</v>
      </c>
      <c r="J13" s="13"/>
      <c r="K13" s="12"/>
      <c r="L13" s="12">
        <f t="shared" si="2"/>
        <v>4</v>
      </c>
      <c r="M13" s="13"/>
      <c r="N13" s="12"/>
      <c r="O13" s="12">
        <f t="shared" si="3"/>
        <v>4</v>
      </c>
      <c r="P13" s="13"/>
      <c r="Q13" s="12"/>
      <c r="R13" s="12">
        <f t="shared" si="4"/>
        <v>4</v>
      </c>
      <c r="S13" s="13"/>
      <c r="T13" s="12"/>
      <c r="U13" s="12">
        <f t="shared" si="5"/>
        <v>4</v>
      </c>
      <c r="V13" s="13"/>
      <c r="W13" s="12"/>
      <c r="X13" s="12">
        <f t="shared" si="6"/>
        <v>4</v>
      </c>
      <c r="Y13" s="13"/>
      <c r="Z13" s="12"/>
      <c r="AA13" s="12">
        <f t="shared" si="7"/>
        <v>4</v>
      </c>
      <c r="AB13" s="13"/>
      <c r="AC13" s="12"/>
      <c r="AD13" s="12">
        <f t="shared" si="8"/>
        <v>4</v>
      </c>
      <c r="AE13" s="13"/>
      <c r="AF13" s="12"/>
      <c r="AG13" s="12">
        <f t="shared" si="9"/>
        <v>4</v>
      </c>
      <c r="AH13" s="13"/>
      <c r="AI13" s="12"/>
      <c r="AJ13" s="12">
        <f t="shared" si="10"/>
        <v>4</v>
      </c>
      <c r="AK13" s="13"/>
      <c r="AL13" s="12"/>
      <c r="AM13" s="12">
        <f t="shared" si="11"/>
        <v>4</v>
      </c>
      <c r="AN13" s="13"/>
      <c r="AO13" s="12"/>
      <c r="AP13" s="12">
        <f t="shared" si="12"/>
        <v>4</v>
      </c>
      <c r="AQ13" s="13"/>
      <c r="AR13" s="12"/>
      <c r="AS13" s="12">
        <f t="shared" si="13"/>
        <v>4</v>
      </c>
      <c r="AT13" s="13"/>
      <c r="AU13" s="12"/>
      <c r="AV13" s="12">
        <f t="shared" si="14"/>
        <v>4</v>
      </c>
      <c r="AW13" s="13"/>
      <c r="AX13" s="12"/>
      <c r="AY13" s="12">
        <f t="shared" si="15"/>
        <v>4</v>
      </c>
      <c r="AZ13" s="13"/>
      <c r="BA13" s="12"/>
      <c r="BB13" s="12">
        <f t="shared" si="16"/>
        <v>4</v>
      </c>
      <c r="BC13" s="13"/>
      <c r="BD13" s="12"/>
      <c r="BE13" s="12">
        <f t="shared" si="17"/>
        <v>4</v>
      </c>
      <c r="BF13" s="13"/>
      <c r="BG13" s="12"/>
      <c r="BH13" s="12">
        <f t="shared" si="18"/>
        <v>4</v>
      </c>
      <c r="BI13" s="13"/>
      <c r="BJ13" s="12"/>
      <c r="BK13" s="12">
        <f t="shared" si="19"/>
        <v>4</v>
      </c>
      <c r="BL13" s="13"/>
      <c r="BM13" s="12"/>
      <c r="BN13" s="12">
        <f t="shared" si="20"/>
        <v>4</v>
      </c>
      <c r="BO13" s="13"/>
      <c r="BP13" s="14">
        <f t="shared" si="21"/>
        <v>0</v>
      </c>
      <c r="BQ13" s="14">
        <f t="shared" si="22"/>
        <v>4</v>
      </c>
    </row>
    <row r="14">
      <c r="A14" s="1"/>
      <c r="B14" s="5" t="s">
        <v>59</v>
      </c>
      <c r="C14" s="5" t="s">
        <v>60</v>
      </c>
      <c r="D14" s="5" t="s">
        <v>61</v>
      </c>
      <c r="E14" s="5" t="s">
        <v>52</v>
      </c>
      <c r="F14" s="5" t="s">
        <v>50</v>
      </c>
      <c r="G14" s="5">
        <v>5.0</v>
      </c>
      <c r="H14" s="12"/>
      <c r="I14" s="12">
        <f t="shared" si="1"/>
        <v>5</v>
      </c>
      <c r="J14" s="13"/>
      <c r="K14" s="12"/>
      <c r="L14" s="12">
        <f t="shared" si="2"/>
        <v>5</v>
      </c>
      <c r="M14" s="13"/>
      <c r="N14" s="12"/>
      <c r="O14" s="12">
        <f t="shared" si="3"/>
        <v>5</v>
      </c>
      <c r="P14" s="13"/>
      <c r="Q14" s="12"/>
      <c r="R14" s="12">
        <f t="shared" si="4"/>
        <v>5</v>
      </c>
      <c r="S14" s="13"/>
      <c r="T14" s="12"/>
      <c r="U14" s="12">
        <f t="shared" si="5"/>
        <v>5</v>
      </c>
      <c r="V14" s="13"/>
      <c r="W14" s="12"/>
      <c r="X14" s="12">
        <f t="shared" si="6"/>
        <v>5</v>
      </c>
      <c r="Y14" s="13"/>
      <c r="Z14" s="12"/>
      <c r="AA14" s="12">
        <f t="shared" si="7"/>
        <v>5</v>
      </c>
      <c r="AB14" s="13"/>
      <c r="AC14" s="12"/>
      <c r="AD14" s="12">
        <f t="shared" si="8"/>
        <v>5</v>
      </c>
      <c r="AE14" s="13"/>
      <c r="AF14" s="12"/>
      <c r="AG14" s="12">
        <f t="shared" si="9"/>
        <v>5</v>
      </c>
      <c r="AH14" s="13"/>
      <c r="AI14" s="12"/>
      <c r="AJ14" s="12">
        <f t="shared" si="10"/>
        <v>5</v>
      </c>
      <c r="AK14" s="13"/>
      <c r="AL14" s="12"/>
      <c r="AM14" s="12">
        <f t="shared" si="11"/>
        <v>5</v>
      </c>
      <c r="AN14" s="13"/>
      <c r="AO14" s="12"/>
      <c r="AP14" s="12">
        <f t="shared" si="12"/>
        <v>5</v>
      </c>
      <c r="AQ14" s="13"/>
      <c r="AR14" s="12"/>
      <c r="AS14" s="12">
        <f t="shared" si="13"/>
        <v>5</v>
      </c>
      <c r="AT14" s="13"/>
      <c r="AU14" s="12"/>
      <c r="AV14" s="12">
        <f t="shared" si="14"/>
        <v>5</v>
      </c>
      <c r="AW14" s="13"/>
      <c r="AX14" s="12"/>
      <c r="AY14" s="12">
        <f t="shared" si="15"/>
        <v>5</v>
      </c>
      <c r="AZ14" s="13"/>
      <c r="BA14" s="12"/>
      <c r="BB14" s="12">
        <f t="shared" si="16"/>
        <v>5</v>
      </c>
      <c r="BC14" s="13"/>
      <c r="BD14" s="12"/>
      <c r="BE14" s="12">
        <f t="shared" si="17"/>
        <v>5</v>
      </c>
      <c r="BF14" s="13"/>
      <c r="BG14" s="12"/>
      <c r="BH14" s="12">
        <f t="shared" si="18"/>
        <v>5</v>
      </c>
      <c r="BI14" s="13"/>
      <c r="BJ14" s="12"/>
      <c r="BK14" s="12">
        <f t="shared" si="19"/>
        <v>5</v>
      </c>
      <c r="BL14" s="13"/>
      <c r="BM14" s="12"/>
      <c r="BN14" s="12">
        <f t="shared" si="20"/>
        <v>5</v>
      </c>
      <c r="BO14" s="13"/>
      <c r="BP14" s="14">
        <f t="shared" si="21"/>
        <v>0</v>
      </c>
      <c r="BQ14" s="14">
        <f t="shared" si="22"/>
        <v>5</v>
      </c>
    </row>
    <row r="15">
      <c r="A15" s="1"/>
      <c r="B15" s="5"/>
      <c r="C15" s="5"/>
      <c r="D15" s="5" t="s">
        <v>62</v>
      </c>
      <c r="E15" s="5" t="s">
        <v>49</v>
      </c>
      <c r="F15" s="5" t="s">
        <v>50</v>
      </c>
      <c r="G15" s="5">
        <v>6.0</v>
      </c>
      <c r="H15" s="12"/>
      <c r="I15" s="12">
        <f t="shared" si="1"/>
        <v>6</v>
      </c>
      <c r="J15" s="13"/>
      <c r="K15" s="12"/>
      <c r="L15" s="12">
        <f t="shared" si="2"/>
        <v>6</v>
      </c>
      <c r="M15" s="13"/>
      <c r="N15" s="12"/>
      <c r="O15" s="12">
        <f t="shared" si="3"/>
        <v>6</v>
      </c>
      <c r="P15" s="13"/>
      <c r="Q15" s="12"/>
      <c r="R15" s="12">
        <f t="shared" si="4"/>
        <v>6</v>
      </c>
      <c r="S15" s="13"/>
      <c r="T15" s="12"/>
      <c r="U15" s="12">
        <f t="shared" si="5"/>
        <v>6</v>
      </c>
      <c r="V15" s="13"/>
      <c r="W15" s="12"/>
      <c r="X15" s="12">
        <f t="shared" si="6"/>
        <v>6</v>
      </c>
      <c r="Y15" s="13"/>
      <c r="Z15" s="12"/>
      <c r="AA15" s="12">
        <f t="shared" si="7"/>
        <v>6</v>
      </c>
      <c r="AB15" s="13"/>
      <c r="AC15" s="12"/>
      <c r="AD15" s="12">
        <f t="shared" si="8"/>
        <v>6</v>
      </c>
      <c r="AE15" s="13"/>
      <c r="AF15" s="12"/>
      <c r="AG15" s="12">
        <f t="shared" si="9"/>
        <v>6</v>
      </c>
      <c r="AH15" s="13"/>
      <c r="AI15" s="12"/>
      <c r="AJ15" s="12">
        <f t="shared" si="10"/>
        <v>6</v>
      </c>
      <c r="AK15" s="13"/>
      <c r="AL15" s="12"/>
      <c r="AM15" s="12">
        <f t="shared" si="11"/>
        <v>6</v>
      </c>
      <c r="AN15" s="13"/>
      <c r="AO15" s="12"/>
      <c r="AP15" s="12">
        <f t="shared" si="12"/>
        <v>6</v>
      </c>
      <c r="AQ15" s="13"/>
      <c r="AR15" s="12"/>
      <c r="AS15" s="12">
        <f t="shared" si="13"/>
        <v>6</v>
      </c>
      <c r="AT15" s="13"/>
      <c r="AU15" s="12"/>
      <c r="AV15" s="12">
        <f t="shared" si="14"/>
        <v>6</v>
      </c>
      <c r="AW15" s="13"/>
      <c r="AX15" s="12"/>
      <c r="AY15" s="12">
        <f t="shared" si="15"/>
        <v>6</v>
      </c>
      <c r="AZ15" s="13"/>
      <c r="BA15" s="12"/>
      <c r="BB15" s="12">
        <f t="shared" si="16"/>
        <v>6</v>
      </c>
      <c r="BC15" s="13"/>
      <c r="BD15" s="12"/>
      <c r="BE15" s="12">
        <f t="shared" si="17"/>
        <v>6</v>
      </c>
      <c r="BF15" s="13"/>
      <c r="BG15" s="12"/>
      <c r="BH15" s="12">
        <f t="shared" si="18"/>
        <v>6</v>
      </c>
      <c r="BI15" s="13"/>
      <c r="BJ15" s="12"/>
      <c r="BK15" s="12">
        <f t="shared" si="19"/>
        <v>6</v>
      </c>
      <c r="BL15" s="13"/>
      <c r="BM15" s="12"/>
      <c r="BN15" s="12">
        <f t="shared" si="20"/>
        <v>6</v>
      </c>
      <c r="BO15" s="13"/>
      <c r="BP15" s="14">
        <f t="shared" si="21"/>
        <v>0</v>
      </c>
      <c r="BQ15" s="14">
        <f t="shared" si="22"/>
        <v>6</v>
      </c>
    </row>
    <row r="16">
      <c r="A16" s="1"/>
      <c r="B16" s="5"/>
      <c r="C16" s="5"/>
      <c r="D16" s="5" t="s">
        <v>63</v>
      </c>
      <c r="E16" s="5" t="s">
        <v>52</v>
      </c>
      <c r="F16" s="5" t="s">
        <v>50</v>
      </c>
      <c r="G16" s="5">
        <v>4.0</v>
      </c>
      <c r="H16" s="12"/>
      <c r="I16" s="12">
        <f t="shared" si="1"/>
        <v>4</v>
      </c>
      <c r="J16" s="13"/>
      <c r="K16" s="12"/>
      <c r="L16" s="12">
        <f t="shared" si="2"/>
        <v>4</v>
      </c>
      <c r="M16" s="13"/>
      <c r="N16" s="12"/>
      <c r="O16" s="12">
        <f t="shared" si="3"/>
        <v>4</v>
      </c>
      <c r="P16" s="13"/>
      <c r="Q16" s="12"/>
      <c r="R16" s="12">
        <f t="shared" si="4"/>
        <v>4</v>
      </c>
      <c r="S16" s="13"/>
      <c r="T16" s="12"/>
      <c r="U16" s="12">
        <f t="shared" si="5"/>
        <v>4</v>
      </c>
      <c r="V16" s="13"/>
      <c r="W16" s="12"/>
      <c r="X16" s="12">
        <f t="shared" si="6"/>
        <v>4</v>
      </c>
      <c r="Y16" s="13"/>
      <c r="Z16" s="12"/>
      <c r="AA16" s="12">
        <f t="shared" si="7"/>
        <v>4</v>
      </c>
      <c r="AB16" s="13"/>
      <c r="AC16" s="12"/>
      <c r="AD16" s="12">
        <f t="shared" si="8"/>
        <v>4</v>
      </c>
      <c r="AE16" s="13"/>
      <c r="AF16" s="12"/>
      <c r="AG16" s="12">
        <f t="shared" si="9"/>
        <v>4</v>
      </c>
      <c r="AH16" s="13"/>
      <c r="AI16" s="12"/>
      <c r="AJ16" s="12">
        <f t="shared" si="10"/>
        <v>4</v>
      </c>
      <c r="AK16" s="13"/>
      <c r="AL16" s="12"/>
      <c r="AM16" s="12">
        <f t="shared" si="11"/>
        <v>4</v>
      </c>
      <c r="AN16" s="13"/>
      <c r="AO16" s="12"/>
      <c r="AP16" s="12">
        <f t="shared" si="12"/>
        <v>4</v>
      </c>
      <c r="AQ16" s="13"/>
      <c r="AR16" s="12"/>
      <c r="AS16" s="12">
        <f t="shared" si="13"/>
        <v>4</v>
      </c>
      <c r="AT16" s="13"/>
      <c r="AU16" s="12"/>
      <c r="AV16" s="12">
        <f t="shared" si="14"/>
        <v>4</v>
      </c>
      <c r="AW16" s="13"/>
      <c r="AX16" s="12"/>
      <c r="AY16" s="12">
        <f t="shared" si="15"/>
        <v>4</v>
      </c>
      <c r="AZ16" s="13"/>
      <c r="BA16" s="12"/>
      <c r="BB16" s="12">
        <f t="shared" si="16"/>
        <v>4</v>
      </c>
      <c r="BC16" s="13"/>
      <c r="BD16" s="12"/>
      <c r="BE16" s="12">
        <f t="shared" si="17"/>
        <v>4</v>
      </c>
      <c r="BF16" s="13"/>
      <c r="BG16" s="12"/>
      <c r="BH16" s="12">
        <f t="shared" si="18"/>
        <v>4</v>
      </c>
      <c r="BI16" s="13"/>
      <c r="BJ16" s="12"/>
      <c r="BK16" s="12">
        <f t="shared" si="19"/>
        <v>4</v>
      </c>
      <c r="BL16" s="13"/>
      <c r="BM16" s="12"/>
      <c r="BN16" s="12">
        <f t="shared" si="20"/>
        <v>4</v>
      </c>
      <c r="BO16" s="13"/>
      <c r="BP16" s="14">
        <f t="shared" si="21"/>
        <v>0</v>
      </c>
      <c r="BQ16" s="14">
        <f t="shared" si="22"/>
        <v>4</v>
      </c>
    </row>
    <row r="17">
      <c r="A17" s="1"/>
      <c r="B17" s="5"/>
      <c r="C17" s="5"/>
      <c r="D17" s="5" t="s">
        <v>64</v>
      </c>
      <c r="E17" s="5" t="s">
        <v>49</v>
      </c>
      <c r="F17" s="5" t="s">
        <v>50</v>
      </c>
      <c r="G17" s="5">
        <v>3.0</v>
      </c>
      <c r="H17" s="12"/>
      <c r="I17" s="12">
        <f t="shared" si="1"/>
        <v>3</v>
      </c>
      <c r="J17" s="13"/>
      <c r="K17" s="12"/>
      <c r="L17" s="12">
        <f t="shared" si="2"/>
        <v>3</v>
      </c>
      <c r="M17" s="13"/>
      <c r="N17" s="12"/>
      <c r="O17" s="12">
        <f t="shared" si="3"/>
        <v>3</v>
      </c>
      <c r="P17" s="13"/>
      <c r="Q17" s="12"/>
      <c r="R17" s="12">
        <f t="shared" si="4"/>
        <v>3</v>
      </c>
      <c r="S17" s="13"/>
      <c r="T17" s="12"/>
      <c r="U17" s="12">
        <f t="shared" si="5"/>
        <v>3</v>
      </c>
      <c r="V17" s="13"/>
      <c r="W17" s="12"/>
      <c r="X17" s="12">
        <f t="shared" si="6"/>
        <v>3</v>
      </c>
      <c r="Y17" s="13"/>
      <c r="Z17" s="12"/>
      <c r="AA17" s="12">
        <f t="shared" si="7"/>
        <v>3</v>
      </c>
      <c r="AB17" s="13"/>
      <c r="AC17" s="12"/>
      <c r="AD17" s="12">
        <f t="shared" si="8"/>
        <v>3</v>
      </c>
      <c r="AE17" s="13"/>
      <c r="AF17" s="12"/>
      <c r="AG17" s="12">
        <f t="shared" si="9"/>
        <v>3</v>
      </c>
      <c r="AH17" s="13"/>
      <c r="AI17" s="12"/>
      <c r="AJ17" s="12">
        <f t="shared" si="10"/>
        <v>3</v>
      </c>
      <c r="AK17" s="13"/>
      <c r="AL17" s="12"/>
      <c r="AM17" s="12">
        <f t="shared" si="11"/>
        <v>3</v>
      </c>
      <c r="AN17" s="13"/>
      <c r="AO17" s="12"/>
      <c r="AP17" s="12">
        <f t="shared" si="12"/>
        <v>3</v>
      </c>
      <c r="AQ17" s="13"/>
      <c r="AR17" s="12"/>
      <c r="AS17" s="12">
        <f t="shared" si="13"/>
        <v>3</v>
      </c>
      <c r="AT17" s="13"/>
      <c r="AU17" s="12"/>
      <c r="AV17" s="12">
        <f t="shared" si="14"/>
        <v>3</v>
      </c>
      <c r="AW17" s="13"/>
      <c r="AX17" s="12"/>
      <c r="AY17" s="12">
        <f t="shared" si="15"/>
        <v>3</v>
      </c>
      <c r="AZ17" s="13"/>
      <c r="BA17" s="12"/>
      <c r="BB17" s="12">
        <f t="shared" si="16"/>
        <v>3</v>
      </c>
      <c r="BC17" s="13"/>
      <c r="BD17" s="12"/>
      <c r="BE17" s="12">
        <f t="shared" si="17"/>
        <v>3</v>
      </c>
      <c r="BF17" s="13"/>
      <c r="BG17" s="12"/>
      <c r="BH17" s="12">
        <f t="shared" si="18"/>
        <v>3</v>
      </c>
      <c r="BI17" s="13"/>
      <c r="BJ17" s="12"/>
      <c r="BK17" s="12">
        <f t="shared" si="19"/>
        <v>3</v>
      </c>
      <c r="BL17" s="13"/>
      <c r="BM17" s="12"/>
      <c r="BN17" s="12">
        <f t="shared" si="20"/>
        <v>3</v>
      </c>
      <c r="BO17" s="13"/>
      <c r="BP17" s="14">
        <f t="shared" si="21"/>
        <v>0</v>
      </c>
      <c r="BQ17" s="14">
        <f t="shared" si="22"/>
        <v>3</v>
      </c>
    </row>
    <row r="18">
      <c r="A18" s="1"/>
      <c r="B18" s="5"/>
      <c r="C18" s="5"/>
      <c r="D18" s="5" t="s">
        <v>65</v>
      </c>
      <c r="E18" s="5" t="s">
        <v>52</v>
      </c>
      <c r="F18" s="5" t="s">
        <v>50</v>
      </c>
      <c r="G18" s="5">
        <v>5.0</v>
      </c>
      <c r="H18" s="12"/>
      <c r="I18" s="12">
        <f t="shared" si="1"/>
        <v>5</v>
      </c>
      <c r="J18" s="13"/>
      <c r="K18" s="12"/>
      <c r="L18" s="12">
        <f t="shared" si="2"/>
        <v>5</v>
      </c>
      <c r="M18" s="13"/>
      <c r="N18" s="12"/>
      <c r="O18" s="12">
        <f t="shared" si="3"/>
        <v>5</v>
      </c>
      <c r="P18" s="13"/>
      <c r="Q18" s="12"/>
      <c r="R18" s="12">
        <f t="shared" si="4"/>
        <v>5</v>
      </c>
      <c r="S18" s="13"/>
      <c r="T18" s="12"/>
      <c r="U18" s="12">
        <f t="shared" si="5"/>
        <v>5</v>
      </c>
      <c r="V18" s="13"/>
      <c r="W18" s="12"/>
      <c r="X18" s="12">
        <f t="shared" si="6"/>
        <v>5</v>
      </c>
      <c r="Y18" s="13"/>
      <c r="Z18" s="12"/>
      <c r="AA18" s="12">
        <f t="shared" si="7"/>
        <v>5</v>
      </c>
      <c r="AB18" s="13"/>
      <c r="AC18" s="12"/>
      <c r="AD18" s="12">
        <f t="shared" si="8"/>
        <v>5</v>
      </c>
      <c r="AE18" s="13"/>
      <c r="AF18" s="12"/>
      <c r="AG18" s="12">
        <f t="shared" si="9"/>
        <v>5</v>
      </c>
      <c r="AH18" s="13"/>
      <c r="AI18" s="12"/>
      <c r="AJ18" s="12">
        <f t="shared" si="10"/>
        <v>5</v>
      </c>
      <c r="AK18" s="13"/>
      <c r="AL18" s="12"/>
      <c r="AM18" s="12">
        <f t="shared" si="11"/>
        <v>5</v>
      </c>
      <c r="AN18" s="13"/>
      <c r="AO18" s="12"/>
      <c r="AP18" s="12">
        <f t="shared" si="12"/>
        <v>5</v>
      </c>
      <c r="AQ18" s="13"/>
      <c r="AR18" s="12"/>
      <c r="AS18" s="12">
        <f t="shared" si="13"/>
        <v>5</v>
      </c>
      <c r="AT18" s="13"/>
      <c r="AU18" s="12"/>
      <c r="AV18" s="12">
        <f t="shared" si="14"/>
        <v>5</v>
      </c>
      <c r="AW18" s="13"/>
      <c r="AX18" s="12"/>
      <c r="AY18" s="12">
        <f t="shared" si="15"/>
        <v>5</v>
      </c>
      <c r="AZ18" s="13"/>
      <c r="BA18" s="12"/>
      <c r="BB18" s="12">
        <f t="shared" si="16"/>
        <v>5</v>
      </c>
      <c r="BC18" s="13"/>
      <c r="BD18" s="12"/>
      <c r="BE18" s="12">
        <f t="shared" si="17"/>
        <v>5</v>
      </c>
      <c r="BF18" s="13"/>
      <c r="BG18" s="12"/>
      <c r="BH18" s="12">
        <f t="shared" si="18"/>
        <v>5</v>
      </c>
      <c r="BI18" s="13"/>
      <c r="BJ18" s="12"/>
      <c r="BK18" s="12">
        <f t="shared" si="19"/>
        <v>5</v>
      </c>
      <c r="BL18" s="13"/>
      <c r="BM18" s="12"/>
      <c r="BN18" s="12">
        <f t="shared" si="20"/>
        <v>5</v>
      </c>
      <c r="BO18" s="13"/>
      <c r="BP18" s="14">
        <f t="shared" si="21"/>
        <v>0</v>
      </c>
      <c r="BQ18" s="14">
        <f t="shared" si="22"/>
        <v>5</v>
      </c>
    </row>
    <row r="19">
      <c r="A19" s="1"/>
      <c r="B19" s="5"/>
      <c r="C19" s="5"/>
      <c r="D19" s="5" t="s">
        <v>66</v>
      </c>
      <c r="E19" s="5" t="s">
        <v>49</v>
      </c>
      <c r="F19" s="5" t="s">
        <v>50</v>
      </c>
      <c r="G19" s="5">
        <v>3.0</v>
      </c>
      <c r="H19" s="12"/>
      <c r="I19" s="12">
        <f t="shared" si="1"/>
        <v>3</v>
      </c>
      <c r="J19" s="13"/>
      <c r="K19" s="12"/>
      <c r="L19" s="12">
        <f t="shared" si="2"/>
        <v>3</v>
      </c>
      <c r="M19" s="13"/>
      <c r="N19" s="12"/>
      <c r="O19" s="12">
        <f t="shared" si="3"/>
        <v>3</v>
      </c>
      <c r="P19" s="13"/>
      <c r="Q19" s="12"/>
      <c r="R19" s="12">
        <f t="shared" si="4"/>
        <v>3</v>
      </c>
      <c r="S19" s="13"/>
      <c r="T19" s="12"/>
      <c r="U19" s="12">
        <f t="shared" si="5"/>
        <v>3</v>
      </c>
      <c r="V19" s="13"/>
      <c r="W19" s="12"/>
      <c r="X19" s="12">
        <f t="shared" si="6"/>
        <v>3</v>
      </c>
      <c r="Y19" s="13"/>
      <c r="Z19" s="12"/>
      <c r="AA19" s="12">
        <f t="shared" si="7"/>
        <v>3</v>
      </c>
      <c r="AB19" s="13"/>
      <c r="AC19" s="12"/>
      <c r="AD19" s="12">
        <f t="shared" si="8"/>
        <v>3</v>
      </c>
      <c r="AE19" s="13"/>
      <c r="AF19" s="12"/>
      <c r="AG19" s="12">
        <f t="shared" si="9"/>
        <v>3</v>
      </c>
      <c r="AH19" s="13"/>
      <c r="AI19" s="12"/>
      <c r="AJ19" s="12">
        <f t="shared" si="10"/>
        <v>3</v>
      </c>
      <c r="AK19" s="13"/>
      <c r="AL19" s="12"/>
      <c r="AM19" s="12">
        <f t="shared" si="11"/>
        <v>3</v>
      </c>
      <c r="AN19" s="13"/>
      <c r="AO19" s="12"/>
      <c r="AP19" s="12">
        <f t="shared" si="12"/>
        <v>3</v>
      </c>
      <c r="AQ19" s="13"/>
      <c r="AR19" s="12"/>
      <c r="AS19" s="12">
        <f t="shared" si="13"/>
        <v>3</v>
      </c>
      <c r="AT19" s="13"/>
      <c r="AU19" s="12"/>
      <c r="AV19" s="12">
        <f t="shared" si="14"/>
        <v>3</v>
      </c>
      <c r="AW19" s="13"/>
      <c r="AX19" s="12"/>
      <c r="AY19" s="12">
        <f t="shared" si="15"/>
        <v>3</v>
      </c>
      <c r="AZ19" s="13"/>
      <c r="BA19" s="12"/>
      <c r="BB19" s="12">
        <f t="shared" si="16"/>
        <v>3</v>
      </c>
      <c r="BC19" s="13"/>
      <c r="BD19" s="12"/>
      <c r="BE19" s="12">
        <f t="shared" si="17"/>
        <v>3</v>
      </c>
      <c r="BF19" s="13"/>
      <c r="BG19" s="12"/>
      <c r="BH19" s="12">
        <f t="shared" si="18"/>
        <v>3</v>
      </c>
      <c r="BI19" s="13"/>
      <c r="BJ19" s="12"/>
      <c r="BK19" s="12">
        <f t="shared" si="19"/>
        <v>3</v>
      </c>
      <c r="BL19" s="13"/>
      <c r="BM19" s="12"/>
      <c r="BN19" s="12">
        <f t="shared" si="20"/>
        <v>3</v>
      </c>
      <c r="BO19" s="13"/>
      <c r="BP19" s="14">
        <f t="shared" si="21"/>
        <v>0</v>
      </c>
      <c r="BQ19" s="14">
        <f t="shared" si="22"/>
        <v>3</v>
      </c>
    </row>
    <row r="20">
      <c r="A20" s="1"/>
      <c r="B20" s="5" t="s">
        <v>67</v>
      </c>
      <c r="C20" s="5" t="s">
        <v>68</v>
      </c>
      <c r="D20" s="5" t="s">
        <v>69</v>
      </c>
      <c r="E20" s="5" t="s">
        <v>49</v>
      </c>
      <c r="F20" s="5" t="s">
        <v>50</v>
      </c>
      <c r="G20" s="5">
        <v>4.0</v>
      </c>
      <c r="H20" s="12"/>
      <c r="I20" s="12">
        <f t="shared" si="1"/>
        <v>4</v>
      </c>
      <c r="J20" s="13"/>
      <c r="K20" s="12"/>
      <c r="L20" s="12">
        <f t="shared" si="2"/>
        <v>4</v>
      </c>
      <c r="M20" s="13"/>
      <c r="N20" s="12"/>
      <c r="O20" s="12">
        <f t="shared" si="3"/>
        <v>4</v>
      </c>
      <c r="P20" s="13"/>
      <c r="Q20" s="12"/>
      <c r="R20" s="12">
        <f t="shared" si="4"/>
        <v>4</v>
      </c>
      <c r="S20" s="13"/>
      <c r="T20" s="12"/>
      <c r="U20" s="12">
        <f t="shared" si="5"/>
        <v>4</v>
      </c>
      <c r="V20" s="13"/>
      <c r="W20" s="12"/>
      <c r="X20" s="12">
        <f t="shared" si="6"/>
        <v>4</v>
      </c>
      <c r="Y20" s="13"/>
      <c r="Z20" s="12"/>
      <c r="AA20" s="12">
        <f t="shared" si="7"/>
        <v>4</v>
      </c>
      <c r="AB20" s="13"/>
      <c r="AC20" s="12"/>
      <c r="AD20" s="12">
        <f t="shared" si="8"/>
        <v>4</v>
      </c>
      <c r="AE20" s="13"/>
      <c r="AF20" s="12"/>
      <c r="AG20" s="12">
        <f t="shared" si="9"/>
        <v>4</v>
      </c>
      <c r="AH20" s="13"/>
      <c r="AI20" s="12"/>
      <c r="AJ20" s="12">
        <f t="shared" si="10"/>
        <v>4</v>
      </c>
      <c r="AK20" s="13"/>
      <c r="AL20" s="12"/>
      <c r="AM20" s="12">
        <f t="shared" si="11"/>
        <v>4</v>
      </c>
      <c r="AN20" s="13"/>
      <c r="AO20" s="12"/>
      <c r="AP20" s="12">
        <f t="shared" si="12"/>
        <v>4</v>
      </c>
      <c r="AQ20" s="13"/>
      <c r="AR20" s="12"/>
      <c r="AS20" s="12">
        <f t="shared" si="13"/>
        <v>4</v>
      </c>
      <c r="AT20" s="13"/>
      <c r="AU20" s="12"/>
      <c r="AV20" s="12">
        <f t="shared" si="14"/>
        <v>4</v>
      </c>
      <c r="AW20" s="13"/>
      <c r="AX20" s="12"/>
      <c r="AY20" s="12">
        <f t="shared" si="15"/>
        <v>4</v>
      </c>
      <c r="AZ20" s="13"/>
      <c r="BA20" s="12"/>
      <c r="BB20" s="12">
        <f t="shared" si="16"/>
        <v>4</v>
      </c>
      <c r="BC20" s="13"/>
      <c r="BD20" s="12"/>
      <c r="BE20" s="12">
        <f t="shared" si="17"/>
        <v>4</v>
      </c>
      <c r="BF20" s="13"/>
      <c r="BG20" s="12"/>
      <c r="BH20" s="12">
        <f t="shared" si="18"/>
        <v>4</v>
      </c>
      <c r="BI20" s="13"/>
      <c r="BJ20" s="12"/>
      <c r="BK20" s="12">
        <f t="shared" si="19"/>
        <v>4</v>
      </c>
      <c r="BL20" s="13"/>
      <c r="BM20" s="12"/>
      <c r="BN20" s="12">
        <f t="shared" si="20"/>
        <v>4</v>
      </c>
      <c r="BO20" s="13"/>
      <c r="BP20" s="14">
        <f t="shared" si="21"/>
        <v>0</v>
      </c>
      <c r="BQ20" s="14">
        <f t="shared" si="22"/>
        <v>4</v>
      </c>
    </row>
    <row r="21" ht="15.75" customHeight="1">
      <c r="A21" s="1"/>
      <c r="B21" s="5"/>
      <c r="C21" s="5"/>
      <c r="D21" s="5" t="s">
        <v>70</v>
      </c>
      <c r="E21" s="5" t="s">
        <v>52</v>
      </c>
      <c r="F21" s="5" t="s">
        <v>50</v>
      </c>
      <c r="G21" s="5">
        <v>6.0</v>
      </c>
      <c r="H21" s="12"/>
      <c r="I21" s="12">
        <f t="shared" si="1"/>
        <v>6</v>
      </c>
      <c r="J21" s="13"/>
      <c r="K21" s="12"/>
      <c r="L21" s="12">
        <f t="shared" si="2"/>
        <v>6</v>
      </c>
      <c r="M21" s="13"/>
      <c r="N21" s="12"/>
      <c r="O21" s="12">
        <f t="shared" si="3"/>
        <v>6</v>
      </c>
      <c r="P21" s="13"/>
      <c r="Q21" s="12"/>
      <c r="R21" s="12">
        <f t="shared" si="4"/>
        <v>6</v>
      </c>
      <c r="S21" s="13"/>
      <c r="T21" s="12"/>
      <c r="U21" s="12">
        <f t="shared" si="5"/>
        <v>6</v>
      </c>
      <c r="V21" s="13"/>
      <c r="W21" s="12"/>
      <c r="X21" s="12">
        <f t="shared" si="6"/>
        <v>6</v>
      </c>
      <c r="Y21" s="13"/>
      <c r="Z21" s="12"/>
      <c r="AA21" s="12">
        <f t="shared" si="7"/>
        <v>6</v>
      </c>
      <c r="AB21" s="13"/>
      <c r="AC21" s="12"/>
      <c r="AD21" s="12">
        <f t="shared" si="8"/>
        <v>6</v>
      </c>
      <c r="AE21" s="13"/>
      <c r="AF21" s="12"/>
      <c r="AG21" s="12">
        <f t="shared" si="9"/>
        <v>6</v>
      </c>
      <c r="AH21" s="13"/>
      <c r="AI21" s="12"/>
      <c r="AJ21" s="12">
        <f t="shared" si="10"/>
        <v>6</v>
      </c>
      <c r="AK21" s="13"/>
      <c r="AL21" s="12"/>
      <c r="AM21" s="12">
        <f t="shared" si="11"/>
        <v>6</v>
      </c>
      <c r="AN21" s="13"/>
      <c r="AO21" s="12"/>
      <c r="AP21" s="12">
        <f t="shared" si="12"/>
        <v>6</v>
      </c>
      <c r="AQ21" s="13"/>
      <c r="AR21" s="12"/>
      <c r="AS21" s="12">
        <f t="shared" si="13"/>
        <v>6</v>
      </c>
      <c r="AT21" s="13"/>
      <c r="AU21" s="12"/>
      <c r="AV21" s="12">
        <f t="shared" si="14"/>
        <v>6</v>
      </c>
      <c r="AW21" s="13"/>
      <c r="AX21" s="12"/>
      <c r="AY21" s="12">
        <f t="shared" si="15"/>
        <v>6</v>
      </c>
      <c r="AZ21" s="13"/>
      <c r="BA21" s="12"/>
      <c r="BB21" s="12">
        <f t="shared" si="16"/>
        <v>6</v>
      </c>
      <c r="BC21" s="13"/>
      <c r="BD21" s="12"/>
      <c r="BE21" s="12">
        <f t="shared" si="17"/>
        <v>6</v>
      </c>
      <c r="BF21" s="13"/>
      <c r="BG21" s="12"/>
      <c r="BH21" s="12">
        <f t="shared" si="18"/>
        <v>6</v>
      </c>
      <c r="BI21" s="13"/>
      <c r="BJ21" s="12"/>
      <c r="BK21" s="12">
        <f t="shared" si="19"/>
        <v>6</v>
      </c>
      <c r="BL21" s="13"/>
      <c r="BM21" s="12"/>
      <c r="BN21" s="12">
        <f t="shared" si="20"/>
        <v>6</v>
      </c>
      <c r="BO21" s="13"/>
      <c r="BP21" s="14">
        <f t="shared" si="21"/>
        <v>0</v>
      </c>
      <c r="BQ21" s="14">
        <f t="shared" si="22"/>
        <v>6</v>
      </c>
    </row>
    <row r="22" ht="15.75" customHeight="1">
      <c r="A22" s="1"/>
      <c r="B22" s="5"/>
      <c r="C22" s="5"/>
      <c r="D22" s="5" t="s">
        <v>71</v>
      </c>
      <c r="E22" s="5" t="s">
        <v>49</v>
      </c>
      <c r="F22" s="5" t="s">
        <v>50</v>
      </c>
      <c r="G22" s="5">
        <v>5.0</v>
      </c>
      <c r="H22" s="12"/>
      <c r="I22" s="12">
        <f t="shared" si="1"/>
        <v>5</v>
      </c>
      <c r="J22" s="13"/>
      <c r="K22" s="12"/>
      <c r="L22" s="12">
        <f t="shared" si="2"/>
        <v>5</v>
      </c>
      <c r="M22" s="13"/>
      <c r="N22" s="12"/>
      <c r="O22" s="12">
        <f t="shared" si="3"/>
        <v>5</v>
      </c>
      <c r="P22" s="13"/>
      <c r="Q22" s="12"/>
      <c r="R22" s="12">
        <f t="shared" si="4"/>
        <v>5</v>
      </c>
      <c r="S22" s="13"/>
      <c r="T22" s="12"/>
      <c r="U22" s="12">
        <f t="shared" si="5"/>
        <v>5</v>
      </c>
      <c r="V22" s="13"/>
      <c r="W22" s="12"/>
      <c r="X22" s="12">
        <f t="shared" si="6"/>
        <v>5</v>
      </c>
      <c r="Y22" s="13"/>
      <c r="Z22" s="12"/>
      <c r="AA22" s="12">
        <f t="shared" si="7"/>
        <v>5</v>
      </c>
      <c r="AB22" s="13"/>
      <c r="AC22" s="12"/>
      <c r="AD22" s="12">
        <f t="shared" si="8"/>
        <v>5</v>
      </c>
      <c r="AE22" s="13"/>
      <c r="AF22" s="12"/>
      <c r="AG22" s="12">
        <f t="shared" si="9"/>
        <v>5</v>
      </c>
      <c r="AH22" s="13"/>
      <c r="AI22" s="12"/>
      <c r="AJ22" s="12">
        <f t="shared" si="10"/>
        <v>5</v>
      </c>
      <c r="AK22" s="13"/>
      <c r="AL22" s="12"/>
      <c r="AM22" s="12">
        <f t="shared" si="11"/>
        <v>5</v>
      </c>
      <c r="AN22" s="13"/>
      <c r="AO22" s="12"/>
      <c r="AP22" s="12">
        <f t="shared" si="12"/>
        <v>5</v>
      </c>
      <c r="AQ22" s="13"/>
      <c r="AR22" s="12"/>
      <c r="AS22" s="12">
        <f t="shared" si="13"/>
        <v>5</v>
      </c>
      <c r="AT22" s="13"/>
      <c r="AU22" s="12"/>
      <c r="AV22" s="12">
        <f t="shared" si="14"/>
        <v>5</v>
      </c>
      <c r="AW22" s="13"/>
      <c r="AX22" s="12"/>
      <c r="AY22" s="12">
        <f t="shared" si="15"/>
        <v>5</v>
      </c>
      <c r="AZ22" s="13"/>
      <c r="BA22" s="12"/>
      <c r="BB22" s="12">
        <f t="shared" si="16"/>
        <v>5</v>
      </c>
      <c r="BC22" s="13"/>
      <c r="BD22" s="12"/>
      <c r="BE22" s="12">
        <f t="shared" si="17"/>
        <v>5</v>
      </c>
      <c r="BF22" s="13"/>
      <c r="BG22" s="12"/>
      <c r="BH22" s="12">
        <f t="shared" si="18"/>
        <v>5</v>
      </c>
      <c r="BI22" s="13"/>
      <c r="BJ22" s="12"/>
      <c r="BK22" s="12">
        <f t="shared" si="19"/>
        <v>5</v>
      </c>
      <c r="BL22" s="13"/>
      <c r="BM22" s="12"/>
      <c r="BN22" s="12">
        <f t="shared" si="20"/>
        <v>5</v>
      </c>
      <c r="BO22" s="13"/>
      <c r="BP22" s="14">
        <f t="shared" si="21"/>
        <v>0</v>
      </c>
      <c r="BQ22" s="14">
        <f t="shared" si="22"/>
        <v>5</v>
      </c>
    </row>
    <row r="23" ht="15.75" customHeight="1">
      <c r="A23" s="1"/>
      <c r="B23" s="5"/>
      <c r="C23" s="5"/>
      <c r="D23" s="5" t="s">
        <v>72</v>
      </c>
      <c r="E23" s="5" t="s">
        <v>52</v>
      </c>
      <c r="F23" s="5" t="s">
        <v>50</v>
      </c>
      <c r="G23" s="5">
        <v>6.0</v>
      </c>
      <c r="H23" s="12"/>
      <c r="I23" s="12">
        <f t="shared" si="1"/>
        <v>6</v>
      </c>
      <c r="J23" s="13"/>
      <c r="K23" s="12"/>
      <c r="L23" s="12">
        <f t="shared" si="2"/>
        <v>6</v>
      </c>
      <c r="M23" s="13"/>
      <c r="N23" s="12"/>
      <c r="O23" s="12">
        <f t="shared" si="3"/>
        <v>6</v>
      </c>
      <c r="P23" s="13"/>
      <c r="Q23" s="12"/>
      <c r="R23" s="12">
        <f t="shared" si="4"/>
        <v>6</v>
      </c>
      <c r="S23" s="13"/>
      <c r="T23" s="12"/>
      <c r="U23" s="12">
        <f t="shared" si="5"/>
        <v>6</v>
      </c>
      <c r="V23" s="13"/>
      <c r="W23" s="12"/>
      <c r="X23" s="12">
        <f t="shared" si="6"/>
        <v>6</v>
      </c>
      <c r="Y23" s="13"/>
      <c r="Z23" s="12"/>
      <c r="AA23" s="12">
        <f t="shared" si="7"/>
        <v>6</v>
      </c>
      <c r="AB23" s="13"/>
      <c r="AC23" s="12"/>
      <c r="AD23" s="12">
        <f t="shared" si="8"/>
        <v>6</v>
      </c>
      <c r="AE23" s="13"/>
      <c r="AF23" s="12"/>
      <c r="AG23" s="12">
        <f t="shared" si="9"/>
        <v>6</v>
      </c>
      <c r="AH23" s="13"/>
      <c r="AI23" s="12"/>
      <c r="AJ23" s="12">
        <f t="shared" si="10"/>
        <v>6</v>
      </c>
      <c r="AK23" s="13"/>
      <c r="AL23" s="12"/>
      <c r="AM23" s="12">
        <f t="shared" si="11"/>
        <v>6</v>
      </c>
      <c r="AN23" s="13"/>
      <c r="AO23" s="12"/>
      <c r="AP23" s="12">
        <f t="shared" si="12"/>
        <v>6</v>
      </c>
      <c r="AQ23" s="13"/>
      <c r="AR23" s="12"/>
      <c r="AS23" s="12">
        <f t="shared" si="13"/>
        <v>6</v>
      </c>
      <c r="AT23" s="13"/>
      <c r="AU23" s="12"/>
      <c r="AV23" s="12">
        <f t="shared" si="14"/>
        <v>6</v>
      </c>
      <c r="AW23" s="13"/>
      <c r="AX23" s="12"/>
      <c r="AY23" s="12">
        <f t="shared" si="15"/>
        <v>6</v>
      </c>
      <c r="AZ23" s="13"/>
      <c r="BA23" s="12"/>
      <c r="BB23" s="12">
        <f t="shared" si="16"/>
        <v>6</v>
      </c>
      <c r="BC23" s="13"/>
      <c r="BD23" s="12"/>
      <c r="BE23" s="12">
        <f t="shared" si="17"/>
        <v>6</v>
      </c>
      <c r="BF23" s="13"/>
      <c r="BG23" s="12"/>
      <c r="BH23" s="12">
        <f t="shared" si="18"/>
        <v>6</v>
      </c>
      <c r="BI23" s="13"/>
      <c r="BJ23" s="12"/>
      <c r="BK23" s="12">
        <f t="shared" si="19"/>
        <v>6</v>
      </c>
      <c r="BL23" s="13"/>
      <c r="BM23" s="12"/>
      <c r="BN23" s="12">
        <f t="shared" si="20"/>
        <v>6</v>
      </c>
      <c r="BO23" s="13"/>
      <c r="BP23" s="14">
        <f t="shared" si="21"/>
        <v>0</v>
      </c>
      <c r="BQ23" s="14">
        <f t="shared" si="22"/>
        <v>6</v>
      </c>
    </row>
    <row r="24" ht="15.75" customHeight="1">
      <c r="A24" s="1"/>
      <c r="B24" s="5"/>
      <c r="C24" s="5"/>
      <c r="D24" s="5" t="s">
        <v>73</v>
      </c>
      <c r="E24" s="5" t="s">
        <v>49</v>
      </c>
      <c r="F24" s="5" t="s">
        <v>50</v>
      </c>
      <c r="G24" s="5">
        <v>3.0</v>
      </c>
      <c r="H24" s="12"/>
      <c r="I24" s="12">
        <f t="shared" si="1"/>
        <v>3</v>
      </c>
      <c r="J24" s="13"/>
      <c r="K24" s="12"/>
      <c r="L24" s="12">
        <f t="shared" si="2"/>
        <v>3</v>
      </c>
      <c r="M24" s="13"/>
      <c r="N24" s="12"/>
      <c r="O24" s="12">
        <f t="shared" si="3"/>
        <v>3</v>
      </c>
      <c r="P24" s="13"/>
      <c r="Q24" s="12"/>
      <c r="R24" s="12">
        <f t="shared" si="4"/>
        <v>3</v>
      </c>
      <c r="S24" s="13"/>
      <c r="T24" s="12"/>
      <c r="U24" s="12">
        <f t="shared" si="5"/>
        <v>3</v>
      </c>
      <c r="V24" s="13"/>
      <c r="W24" s="12"/>
      <c r="X24" s="12">
        <f t="shared" si="6"/>
        <v>3</v>
      </c>
      <c r="Y24" s="13"/>
      <c r="Z24" s="12"/>
      <c r="AA24" s="12">
        <f t="shared" si="7"/>
        <v>3</v>
      </c>
      <c r="AB24" s="13"/>
      <c r="AC24" s="12"/>
      <c r="AD24" s="12">
        <f t="shared" si="8"/>
        <v>3</v>
      </c>
      <c r="AE24" s="13"/>
      <c r="AF24" s="12"/>
      <c r="AG24" s="12">
        <f t="shared" si="9"/>
        <v>3</v>
      </c>
      <c r="AH24" s="13"/>
      <c r="AI24" s="12"/>
      <c r="AJ24" s="12">
        <f t="shared" si="10"/>
        <v>3</v>
      </c>
      <c r="AK24" s="13"/>
      <c r="AL24" s="12"/>
      <c r="AM24" s="12">
        <f t="shared" si="11"/>
        <v>3</v>
      </c>
      <c r="AN24" s="13"/>
      <c r="AO24" s="12"/>
      <c r="AP24" s="12">
        <f t="shared" si="12"/>
        <v>3</v>
      </c>
      <c r="AQ24" s="13"/>
      <c r="AR24" s="12"/>
      <c r="AS24" s="12">
        <f t="shared" si="13"/>
        <v>3</v>
      </c>
      <c r="AT24" s="13"/>
      <c r="AU24" s="12"/>
      <c r="AV24" s="12">
        <f t="shared" si="14"/>
        <v>3</v>
      </c>
      <c r="AW24" s="13"/>
      <c r="AX24" s="12"/>
      <c r="AY24" s="12">
        <f t="shared" si="15"/>
        <v>3</v>
      </c>
      <c r="AZ24" s="13"/>
      <c r="BA24" s="12"/>
      <c r="BB24" s="12">
        <f t="shared" si="16"/>
        <v>3</v>
      </c>
      <c r="BC24" s="13"/>
      <c r="BD24" s="12"/>
      <c r="BE24" s="12">
        <f t="shared" si="17"/>
        <v>3</v>
      </c>
      <c r="BF24" s="13"/>
      <c r="BG24" s="12"/>
      <c r="BH24" s="12">
        <f t="shared" si="18"/>
        <v>3</v>
      </c>
      <c r="BI24" s="13"/>
      <c r="BJ24" s="12"/>
      <c r="BK24" s="12">
        <f t="shared" si="19"/>
        <v>3</v>
      </c>
      <c r="BL24" s="13"/>
      <c r="BM24" s="12"/>
      <c r="BN24" s="12">
        <f t="shared" si="20"/>
        <v>3</v>
      </c>
      <c r="BO24" s="13"/>
      <c r="BP24" s="14">
        <f t="shared" si="21"/>
        <v>0</v>
      </c>
      <c r="BQ24" s="14">
        <f t="shared" si="22"/>
        <v>3</v>
      </c>
    </row>
    <row r="25" ht="15.75" customHeight="1">
      <c r="A25" s="1"/>
      <c r="B25" s="5"/>
      <c r="C25" s="5"/>
      <c r="D25" s="5" t="s">
        <v>74</v>
      </c>
      <c r="E25" s="5" t="s">
        <v>52</v>
      </c>
      <c r="F25" s="5" t="s">
        <v>50</v>
      </c>
      <c r="G25" s="5">
        <v>3.0</v>
      </c>
      <c r="H25" s="12"/>
      <c r="I25" s="12">
        <f t="shared" si="1"/>
        <v>3</v>
      </c>
      <c r="J25" s="13"/>
      <c r="K25" s="12"/>
      <c r="L25" s="12">
        <f t="shared" si="2"/>
        <v>3</v>
      </c>
      <c r="M25" s="13"/>
      <c r="N25" s="12"/>
      <c r="O25" s="12">
        <f t="shared" si="3"/>
        <v>3</v>
      </c>
      <c r="P25" s="13"/>
      <c r="Q25" s="12"/>
      <c r="R25" s="12">
        <f t="shared" si="4"/>
        <v>3</v>
      </c>
      <c r="S25" s="13"/>
      <c r="T25" s="12"/>
      <c r="U25" s="12">
        <f t="shared" si="5"/>
        <v>3</v>
      </c>
      <c r="V25" s="13"/>
      <c r="W25" s="12"/>
      <c r="X25" s="12">
        <f t="shared" si="6"/>
        <v>3</v>
      </c>
      <c r="Y25" s="13"/>
      <c r="Z25" s="12"/>
      <c r="AA25" s="12">
        <f t="shared" si="7"/>
        <v>3</v>
      </c>
      <c r="AB25" s="13"/>
      <c r="AC25" s="12"/>
      <c r="AD25" s="12">
        <f t="shared" si="8"/>
        <v>3</v>
      </c>
      <c r="AE25" s="13"/>
      <c r="AF25" s="12"/>
      <c r="AG25" s="12">
        <f t="shared" si="9"/>
        <v>3</v>
      </c>
      <c r="AH25" s="13"/>
      <c r="AI25" s="12"/>
      <c r="AJ25" s="12">
        <f t="shared" si="10"/>
        <v>3</v>
      </c>
      <c r="AK25" s="13"/>
      <c r="AL25" s="12"/>
      <c r="AM25" s="12">
        <f t="shared" si="11"/>
        <v>3</v>
      </c>
      <c r="AN25" s="13"/>
      <c r="AO25" s="12"/>
      <c r="AP25" s="12">
        <f t="shared" si="12"/>
        <v>3</v>
      </c>
      <c r="AQ25" s="13"/>
      <c r="AR25" s="12"/>
      <c r="AS25" s="12">
        <f t="shared" si="13"/>
        <v>3</v>
      </c>
      <c r="AT25" s="13"/>
      <c r="AU25" s="12"/>
      <c r="AV25" s="12">
        <f t="shared" si="14"/>
        <v>3</v>
      </c>
      <c r="AW25" s="13"/>
      <c r="AX25" s="12"/>
      <c r="AY25" s="12">
        <f t="shared" si="15"/>
        <v>3</v>
      </c>
      <c r="AZ25" s="13"/>
      <c r="BA25" s="12"/>
      <c r="BB25" s="12">
        <f t="shared" si="16"/>
        <v>3</v>
      </c>
      <c r="BC25" s="13"/>
      <c r="BD25" s="12"/>
      <c r="BE25" s="12">
        <f t="shared" si="17"/>
        <v>3</v>
      </c>
      <c r="BF25" s="13"/>
      <c r="BG25" s="12"/>
      <c r="BH25" s="12">
        <f t="shared" si="18"/>
        <v>3</v>
      </c>
      <c r="BI25" s="13"/>
      <c r="BJ25" s="12"/>
      <c r="BK25" s="12">
        <f t="shared" si="19"/>
        <v>3</v>
      </c>
      <c r="BL25" s="13"/>
      <c r="BM25" s="12"/>
      <c r="BN25" s="12">
        <f t="shared" si="20"/>
        <v>3</v>
      </c>
      <c r="BO25" s="13"/>
      <c r="BP25" s="14">
        <f t="shared" si="21"/>
        <v>0</v>
      </c>
      <c r="BQ25" s="14">
        <f t="shared" si="22"/>
        <v>3</v>
      </c>
    </row>
    <row r="26" ht="15.75" customHeight="1">
      <c r="A26" s="1"/>
      <c r="B26" s="5"/>
      <c r="C26" s="5"/>
      <c r="D26" s="5" t="s">
        <v>75</v>
      </c>
      <c r="E26" s="5" t="s">
        <v>49</v>
      </c>
      <c r="F26" s="5" t="s">
        <v>50</v>
      </c>
      <c r="G26" s="5">
        <v>4.0</v>
      </c>
      <c r="H26" s="12"/>
      <c r="I26" s="12">
        <f t="shared" si="1"/>
        <v>4</v>
      </c>
      <c r="J26" s="13"/>
      <c r="K26" s="12"/>
      <c r="L26" s="12">
        <f t="shared" si="2"/>
        <v>4</v>
      </c>
      <c r="M26" s="13"/>
      <c r="N26" s="12"/>
      <c r="O26" s="12">
        <f t="shared" si="3"/>
        <v>4</v>
      </c>
      <c r="P26" s="13"/>
      <c r="Q26" s="12"/>
      <c r="R26" s="12">
        <f t="shared" si="4"/>
        <v>4</v>
      </c>
      <c r="S26" s="13"/>
      <c r="T26" s="12"/>
      <c r="U26" s="12">
        <f t="shared" si="5"/>
        <v>4</v>
      </c>
      <c r="V26" s="13"/>
      <c r="W26" s="12"/>
      <c r="X26" s="12">
        <f t="shared" si="6"/>
        <v>4</v>
      </c>
      <c r="Y26" s="13"/>
      <c r="Z26" s="12"/>
      <c r="AA26" s="12">
        <f t="shared" si="7"/>
        <v>4</v>
      </c>
      <c r="AB26" s="13"/>
      <c r="AC26" s="12"/>
      <c r="AD26" s="12">
        <f t="shared" si="8"/>
        <v>4</v>
      </c>
      <c r="AE26" s="13"/>
      <c r="AF26" s="12"/>
      <c r="AG26" s="12">
        <f t="shared" si="9"/>
        <v>4</v>
      </c>
      <c r="AH26" s="13"/>
      <c r="AI26" s="12"/>
      <c r="AJ26" s="12">
        <f t="shared" si="10"/>
        <v>4</v>
      </c>
      <c r="AK26" s="13"/>
      <c r="AL26" s="12"/>
      <c r="AM26" s="12">
        <f t="shared" si="11"/>
        <v>4</v>
      </c>
      <c r="AN26" s="13"/>
      <c r="AO26" s="12"/>
      <c r="AP26" s="12">
        <f t="shared" si="12"/>
        <v>4</v>
      </c>
      <c r="AQ26" s="13"/>
      <c r="AR26" s="12"/>
      <c r="AS26" s="12">
        <f t="shared" si="13"/>
        <v>4</v>
      </c>
      <c r="AT26" s="13"/>
      <c r="AU26" s="12"/>
      <c r="AV26" s="12">
        <f t="shared" si="14"/>
        <v>4</v>
      </c>
      <c r="AW26" s="13"/>
      <c r="AX26" s="12"/>
      <c r="AY26" s="12">
        <f t="shared" si="15"/>
        <v>4</v>
      </c>
      <c r="AZ26" s="13"/>
      <c r="BA26" s="12"/>
      <c r="BB26" s="12">
        <f t="shared" si="16"/>
        <v>4</v>
      </c>
      <c r="BC26" s="13"/>
      <c r="BD26" s="12"/>
      <c r="BE26" s="12">
        <f t="shared" si="17"/>
        <v>4</v>
      </c>
      <c r="BF26" s="13"/>
      <c r="BG26" s="12"/>
      <c r="BH26" s="12">
        <f t="shared" si="18"/>
        <v>4</v>
      </c>
      <c r="BI26" s="13"/>
      <c r="BJ26" s="12"/>
      <c r="BK26" s="12">
        <f t="shared" si="19"/>
        <v>4</v>
      </c>
      <c r="BL26" s="13"/>
      <c r="BM26" s="12"/>
      <c r="BN26" s="12">
        <f t="shared" si="20"/>
        <v>4</v>
      </c>
      <c r="BO26" s="13"/>
      <c r="BP26" s="14">
        <f t="shared" si="21"/>
        <v>0</v>
      </c>
      <c r="BQ26" s="14">
        <f t="shared" si="22"/>
        <v>4</v>
      </c>
    </row>
    <row r="27" ht="15.75" customHeight="1">
      <c r="A27" s="1"/>
      <c r="B27" s="5"/>
      <c r="C27" s="5"/>
      <c r="D27" s="5" t="s">
        <v>76</v>
      </c>
      <c r="E27" s="5" t="s">
        <v>52</v>
      </c>
      <c r="F27" s="5" t="s">
        <v>50</v>
      </c>
      <c r="G27" s="5">
        <v>4.0</v>
      </c>
      <c r="H27" s="12"/>
      <c r="I27" s="12">
        <f t="shared" si="1"/>
        <v>4</v>
      </c>
      <c r="J27" s="13"/>
      <c r="K27" s="12"/>
      <c r="L27" s="12">
        <f t="shared" si="2"/>
        <v>4</v>
      </c>
      <c r="M27" s="13"/>
      <c r="N27" s="12"/>
      <c r="O27" s="12">
        <f t="shared" si="3"/>
        <v>4</v>
      </c>
      <c r="P27" s="13"/>
      <c r="Q27" s="12"/>
      <c r="R27" s="12">
        <f t="shared" si="4"/>
        <v>4</v>
      </c>
      <c r="S27" s="13"/>
      <c r="T27" s="12"/>
      <c r="U27" s="12">
        <f t="shared" si="5"/>
        <v>4</v>
      </c>
      <c r="V27" s="13"/>
      <c r="W27" s="12"/>
      <c r="X27" s="12">
        <f t="shared" si="6"/>
        <v>4</v>
      </c>
      <c r="Y27" s="13"/>
      <c r="Z27" s="12"/>
      <c r="AA27" s="12">
        <f t="shared" si="7"/>
        <v>4</v>
      </c>
      <c r="AB27" s="13"/>
      <c r="AC27" s="12"/>
      <c r="AD27" s="12">
        <f t="shared" si="8"/>
        <v>4</v>
      </c>
      <c r="AE27" s="13"/>
      <c r="AF27" s="12"/>
      <c r="AG27" s="12">
        <f t="shared" si="9"/>
        <v>4</v>
      </c>
      <c r="AH27" s="13"/>
      <c r="AI27" s="12"/>
      <c r="AJ27" s="12">
        <f t="shared" si="10"/>
        <v>4</v>
      </c>
      <c r="AK27" s="13"/>
      <c r="AL27" s="12"/>
      <c r="AM27" s="12">
        <f t="shared" si="11"/>
        <v>4</v>
      </c>
      <c r="AN27" s="13"/>
      <c r="AO27" s="12"/>
      <c r="AP27" s="12">
        <f t="shared" si="12"/>
        <v>4</v>
      </c>
      <c r="AQ27" s="13"/>
      <c r="AR27" s="12"/>
      <c r="AS27" s="12">
        <f t="shared" si="13"/>
        <v>4</v>
      </c>
      <c r="AT27" s="13"/>
      <c r="AU27" s="12"/>
      <c r="AV27" s="12">
        <f t="shared" si="14"/>
        <v>4</v>
      </c>
      <c r="AW27" s="13"/>
      <c r="AX27" s="12"/>
      <c r="AY27" s="12">
        <f t="shared" si="15"/>
        <v>4</v>
      </c>
      <c r="AZ27" s="13"/>
      <c r="BA27" s="12"/>
      <c r="BB27" s="12">
        <f t="shared" si="16"/>
        <v>4</v>
      </c>
      <c r="BC27" s="13"/>
      <c r="BD27" s="12"/>
      <c r="BE27" s="12">
        <f t="shared" si="17"/>
        <v>4</v>
      </c>
      <c r="BF27" s="13"/>
      <c r="BG27" s="12"/>
      <c r="BH27" s="12">
        <f t="shared" si="18"/>
        <v>4</v>
      </c>
      <c r="BI27" s="13"/>
      <c r="BJ27" s="12"/>
      <c r="BK27" s="12">
        <f t="shared" si="19"/>
        <v>4</v>
      </c>
      <c r="BL27" s="13"/>
      <c r="BM27" s="12"/>
      <c r="BN27" s="12">
        <f t="shared" si="20"/>
        <v>4</v>
      </c>
      <c r="BO27" s="13"/>
      <c r="BP27" s="14">
        <f t="shared" si="21"/>
        <v>0</v>
      </c>
      <c r="BQ27" s="14">
        <f t="shared" si="22"/>
        <v>4</v>
      </c>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c r="BQ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c r="BQ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c r="BQ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c r="BQ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c r="BQ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c r="BQ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c r="BQ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c r="BQ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c r="BQ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c r="BQ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c r="BQ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c r="BQ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c r="BQ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c r="BQ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c r="BQ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c r="BQ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c r="BQ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c r="BQ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c r="BN956" s="15"/>
      <c r="BO956" s="15"/>
      <c r="BP956" s="15"/>
      <c r="BQ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c r="BN957" s="15"/>
      <c r="BO957" s="15"/>
      <c r="BP957" s="15"/>
      <c r="BQ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c r="BN958" s="15"/>
      <c r="BO958" s="15"/>
      <c r="BP958" s="15"/>
      <c r="BQ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c r="BN959" s="15"/>
      <c r="BO959" s="15"/>
      <c r="BP959" s="15"/>
      <c r="BQ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c r="BO960" s="15"/>
      <c r="BP960" s="15"/>
      <c r="BQ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c r="BN961" s="15"/>
      <c r="BO961" s="15"/>
      <c r="BP961" s="15"/>
      <c r="BQ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c r="BO962" s="15"/>
      <c r="BP962" s="15"/>
      <c r="BQ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c r="BN963" s="15"/>
      <c r="BO963" s="15"/>
      <c r="BP963" s="15"/>
      <c r="BQ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c r="BO964" s="15"/>
      <c r="BP964" s="15"/>
      <c r="BQ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c r="BN965" s="15"/>
      <c r="BO965" s="15"/>
      <c r="BP965" s="15"/>
      <c r="BQ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c r="BN967" s="15"/>
      <c r="BO967" s="15"/>
      <c r="BP967" s="15"/>
      <c r="BQ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c r="BO968" s="15"/>
      <c r="BP968" s="15"/>
      <c r="BQ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c r="BN969" s="15"/>
      <c r="BO969" s="15"/>
      <c r="BP969" s="15"/>
      <c r="BQ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c r="BP970" s="15"/>
      <c r="BQ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c r="BN971" s="15"/>
      <c r="BO971" s="15"/>
      <c r="BP971" s="15"/>
      <c r="BQ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c r="BN972" s="15"/>
      <c r="BO972" s="15"/>
      <c r="BP972" s="15"/>
      <c r="BQ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c r="BN973" s="15"/>
      <c r="BO973" s="15"/>
      <c r="BP973" s="15"/>
      <c r="BQ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c r="BN974" s="15"/>
      <c r="BO974" s="15"/>
      <c r="BP974" s="15"/>
      <c r="BQ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c r="BN975" s="15"/>
      <c r="BO975" s="15"/>
      <c r="BP975" s="15"/>
      <c r="BQ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c r="BN976" s="15"/>
      <c r="BO976" s="15"/>
      <c r="BP976" s="15"/>
      <c r="BQ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c r="BN977" s="15"/>
      <c r="BO977" s="15"/>
      <c r="BP977" s="15"/>
      <c r="BQ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c r="BN978" s="15"/>
      <c r="BO978" s="15"/>
      <c r="BP978" s="15"/>
      <c r="BQ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c r="BN979" s="15"/>
      <c r="BO979" s="15"/>
      <c r="BP979" s="15"/>
      <c r="BQ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c r="BN980" s="15"/>
      <c r="BO980" s="15"/>
      <c r="BP980" s="15"/>
      <c r="BQ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c r="BN981" s="15"/>
      <c r="BO981" s="15"/>
      <c r="BP981" s="15"/>
      <c r="BQ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c r="BN982" s="15"/>
      <c r="BO982" s="15"/>
      <c r="BP982" s="15"/>
      <c r="BQ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c r="BN983" s="15"/>
      <c r="BO983" s="15"/>
      <c r="BP983" s="15"/>
      <c r="BQ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c r="BN984" s="15"/>
      <c r="BO984" s="15"/>
      <c r="BP984" s="15"/>
      <c r="BQ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c r="BN986" s="15"/>
      <c r="BO986" s="15"/>
      <c r="BP986" s="15"/>
      <c r="BQ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c r="BN987" s="15"/>
      <c r="BO987" s="15"/>
      <c r="BP987" s="15"/>
      <c r="BQ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c r="BN989" s="15"/>
      <c r="BO989" s="15"/>
      <c r="BP989" s="15"/>
      <c r="BQ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c r="BN990" s="15"/>
      <c r="BO990" s="15"/>
      <c r="BP990" s="15"/>
      <c r="BQ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c r="BN992" s="15"/>
      <c r="BO992" s="15"/>
      <c r="BP992" s="15"/>
      <c r="BQ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c r="BN993" s="15"/>
      <c r="BO993" s="15"/>
      <c r="BP993" s="15"/>
      <c r="BQ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c r="BN994" s="15"/>
      <c r="BO994" s="15"/>
      <c r="BP994" s="15"/>
      <c r="BQ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c r="BN995" s="15"/>
      <c r="BO995" s="15"/>
      <c r="BP995" s="15"/>
      <c r="BQ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c r="BN996" s="15"/>
      <c r="BO996" s="15"/>
      <c r="BP996" s="15"/>
      <c r="BQ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c r="BN997" s="15"/>
      <c r="BO997" s="15"/>
      <c r="BP997" s="15"/>
      <c r="BQ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c r="BN998" s="15"/>
      <c r="BO998" s="15"/>
      <c r="BP998" s="15"/>
      <c r="BQ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c r="BN999" s="15"/>
      <c r="BO999" s="15"/>
      <c r="BP999" s="15"/>
      <c r="BQ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c r="BN1000" s="15"/>
      <c r="BO1000" s="15"/>
      <c r="BP1000" s="15"/>
      <c r="BQ1000" s="15"/>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1"/>
      <c r="E4" s="1"/>
      <c r="F4" s="1"/>
      <c r="G4" s="1"/>
      <c r="H4" s="1"/>
      <c r="I4" s="1"/>
      <c r="J4" s="1"/>
      <c r="K4" s="1"/>
      <c r="L4" s="1"/>
      <c r="M4" s="1"/>
      <c r="N4" s="1"/>
      <c r="O4" s="1"/>
      <c r="P4" s="1"/>
      <c r="Q4" s="1"/>
      <c r="R4" s="1"/>
      <c r="S4" s="1"/>
      <c r="T4" s="1"/>
      <c r="U4" s="1"/>
      <c r="V4" s="1"/>
      <c r="W4" s="1"/>
      <c r="X4" s="1"/>
      <c r="Y4" s="1"/>
      <c r="Z4" s="1"/>
    </row>
    <row r="5">
      <c r="A5" s="1"/>
      <c r="B5" s="5" t="str">
        <f>'Sprint Backlog'!B5</f>
        <v>Identificador (ID) de item de product backlog</v>
      </c>
      <c r="C5" s="5" t="s">
        <v>5</v>
      </c>
      <c r="D5" s="1"/>
      <c r="E5" s="1"/>
      <c r="F5" s="1"/>
      <c r="G5" s="1"/>
      <c r="H5" s="1"/>
      <c r="I5" s="1"/>
      <c r="J5" s="1"/>
      <c r="K5" s="1"/>
      <c r="L5" s="1"/>
      <c r="M5" s="1"/>
      <c r="N5" s="1"/>
      <c r="O5" s="1"/>
      <c r="P5" s="1"/>
      <c r="Q5" s="1"/>
      <c r="R5" s="1"/>
      <c r="S5" s="1"/>
      <c r="T5" s="1"/>
      <c r="U5" s="1"/>
      <c r="V5" s="1"/>
      <c r="W5" s="1"/>
      <c r="X5" s="1"/>
      <c r="Y5" s="1"/>
      <c r="Z5" s="1"/>
    </row>
    <row r="6">
      <c r="A6" s="1"/>
      <c r="B6" s="5" t="str">
        <f>'Sprint Backlog'!C5</f>
        <v>Enunciado del item de Product Backlog</v>
      </c>
      <c r="C6" s="5" t="s">
        <v>7</v>
      </c>
      <c r="D6" s="1"/>
      <c r="E6" s="1"/>
      <c r="F6" s="1"/>
      <c r="G6" s="1"/>
      <c r="H6" s="1"/>
      <c r="I6" s="1"/>
      <c r="J6" s="1"/>
      <c r="K6" s="1"/>
      <c r="L6" s="1"/>
      <c r="M6" s="1"/>
      <c r="N6" s="1"/>
      <c r="O6" s="1"/>
      <c r="P6" s="1"/>
      <c r="Q6" s="1"/>
      <c r="R6" s="1"/>
      <c r="S6" s="1"/>
      <c r="T6" s="1"/>
      <c r="U6" s="1"/>
      <c r="V6" s="1"/>
      <c r="W6" s="1"/>
      <c r="X6" s="1"/>
      <c r="Y6" s="1"/>
      <c r="Z6" s="1"/>
    </row>
    <row r="7">
      <c r="A7" s="1"/>
      <c r="B7" s="5" t="s">
        <v>8</v>
      </c>
      <c r="C7" s="5" t="s">
        <v>9</v>
      </c>
      <c r="D7" s="1"/>
      <c r="E7" s="1"/>
      <c r="F7" s="1"/>
      <c r="G7" s="1"/>
      <c r="H7" s="1"/>
      <c r="I7" s="1"/>
      <c r="J7" s="1"/>
      <c r="K7" s="1"/>
      <c r="L7" s="1"/>
      <c r="M7" s="1"/>
      <c r="N7" s="1"/>
      <c r="O7" s="1"/>
      <c r="P7" s="1"/>
      <c r="Q7" s="1"/>
      <c r="R7" s="1"/>
      <c r="S7" s="1"/>
      <c r="T7" s="1"/>
      <c r="U7" s="1"/>
      <c r="V7" s="1"/>
      <c r="W7" s="1"/>
      <c r="X7" s="1"/>
      <c r="Y7" s="1"/>
      <c r="Z7" s="1"/>
    </row>
    <row r="8">
      <c r="A8" s="1"/>
      <c r="B8" s="5" t="s">
        <v>10</v>
      </c>
      <c r="C8" s="5" t="s">
        <v>11</v>
      </c>
      <c r="D8" s="1"/>
      <c r="E8" s="1"/>
      <c r="F8" s="1"/>
      <c r="G8" s="1"/>
      <c r="H8" s="1"/>
      <c r="I8" s="1"/>
      <c r="J8" s="1"/>
      <c r="K8" s="1"/>
      <c r="L8" s="1"/>
      <c r="M8" s="1"/>
      <c r="N8" s="1"/>
      <c r="O8" s="1"/>
      <c r="P8" s="1"/>
      <c r="Q8" s="1"/>
      <c r="R8" s="1"/>
      <c r="S8" s="1"/>
      <c r="T8" s="1"/>
      <c r="U8" s="1"/>
      <c r="V8" s="1"/>
      <c r="W8" s="1"/>
      <c r="X8" s="1"/>
      <c r="Y8" s="1"/>
      <c r="Z8" s="1"/>
    </row>
    <row r="9">
      <c r="A9" s="1"/>
      <c r="B9" s="5" t="s">
        <v>12</v>
      </c>
      <c r="C9" s="5" t="s">
        <v>13</v>
      </c>
      <c r="D9" s="1"/>
      <c r="E9" s="1"/>
      <c r="F9" s="1"/>
      <c r="G9" s="1"/>
      <c r="H9" s="1"/>
      <c r="I9" s="1"/>
      <c r="J9" s="1"/>
      <c r="K9" s="1"/>
      <c r="L9" s="1"/>
      <c r="M9" s="1"/>
      <c r="N9" s="1"/>
      <c r="O9" s="1"/>
      <c r="P9" s="1"/>
      <c r="Q9" s="1"/>
      <c r="R9" s="1"/>
      <c r="S9" s="1"/>
      <c r="T9" s="1"/>
      <c r="U9" s="1"/>
      <c r="V9" s="1"/>
      <c r="W9" s="1"/>
      <c r="X9" s="1"/>
      <c r="Y9" s="1"/>
      <c r="Z9" s="1"/>
    </row>
    <row r="10">
      <c r="A10" s="1"/>
      <c r="B10" s="5" t="s">
        <v>14</v>
      </c>
      <c r="C10" s="5" t="s">
        <v>15</v>
      </c>
      <c r="D10" s="1"/>
      <c r="E10" s="1"/>
      <c r="F10" s="1"/>
      <c r="G10" s="1"/>
      <c r="H10" s="1"/>
      <c r="I10" s="1"/>
      <c r="J10" s="1"/>
      <c r="K10" s="1"/>
      <c r="L10" s="1"/>
      <c r="M10" s="1"/>
      <c r="N10" s="1"/>
      <c r="O10" s="1"/>
      <c r="P10" s="1"/>
      <c r="Q10" s="1"/>
      <c r="R10" s="1"/>
      <c r="S10" s="1"/>
      <c r="T10" s="1"/>
      <c r="U10" s="1"/>
      <c r="V10" s="1"/>
      <c r="W10" s="1"/>
      <c r="X10" s="1"/>
      <c r="Y10" s="1"/>
      <c r="Z10" s="1"/>
    </row>
    <row r="11">
      <c r="A11" s="1"/>
      <c r="B11" s="5" t="s">
        <v>16</v>
      </c>
      <c r="C11" s="5" t="s">
        <v>17</v>
      </c>
      <c r="D11" s="1"/>
      <c r="E11" s="1"/>
      <c r="F11" s="1"/>
      <c r="G11" s="1"/>
      <c r="H11" s="1"/>
      <c r="I11" s="1"/>
      <c r="J11" s="1"/>
      <c r="K11" s="1"/>
      <c r="L11" s="1"/>
      <c r="M11" s="1"/>
      <c r="N11" s="1"/>
      <c r="O11" s="1"/>
      <c r="P11" s="1"/>
      <c r="Q11" s="1"/>
      <c r="R11" s="1"/>
      <c r="S11" s="1"/>
      <c r="T11" s="1"/>
      <c r="U11" s="1"/>
      <c r="V11" s="1"/>
      <c r="W11" s="1"/>
      <c r="X11" s="1"/>
      <c r="Y11" s="1"/>
      <c r="Z11" s="1"/>
    </row>
    <row r="12">
      <c r="A12" s="1"/>
      <c r="B12" s="5" t="s">
        <v>18</v>
      </c>
      <c r="C12" s="5" t="s">
        <v>19</v>
      </c>
      <c r="D12" s="1"/>
      <c r="E12" s="1"/>
      <c r="F12" s="1"/>
      <c r="G12" s="1"/>
      <c r="H12" s="1"/>
      <c r="I12" s="1"/>
      <c r="J12" s="1"/>
      <c r="K12" s="1"/>
      <c r="L12" s="1"/>
      <c r="M12" s="1"/>
      <c r="N12" s="1"/>
      <c r="O12" s="1"/>
      <c r="P12" s="1"/>
      <c r="Q12" s="1"/>
      <c r="R12" s="1"/>
      <c r="S12" s="1"/>
      <c r="T12" s="1"/>
      <c r="U12" s="1"/>
      <c r="V12" s="1"/>
      <c r="W12" s="1"/>
      <c r="X12" s="1"/>
      <c r="Y12" s="1"/>
      <c r="Z12" s="1"/>
    </row>
    <row r="13">
      <c r="A13" s="1"/>
      <c r="B13" s="5" t="s">
        <v>20</v>
      </c>
      <c r="C13" s="5" t="s">
        <v>21</v>
      </c>
      <c r="D13" s="1"/>
      <c r="E13" s="1"/>
      <c r="F13" s="1"/>
      <c r="G13" s="1"/>
      <c r="H13" s="1"/>
      <c r="I13" s="1"/>
      <c r="J13" s="1"/>
      <c r="K13" s="1"/>
      <c r="L13" s="1"/>
      <c r="M13" s="1"/>
      <c r="N13" s="1"/>
      <c r="O13" s="1"/>
      <c r="P13" s="1"/>
      <c r="Q13" s="1"/>
      <c r="R13" s="1"/>
      <c r="S13" s="1"/>
      <c r="T13" s="1"/>
      <c r="U13" s="1"/>
      <c r="V13" s="1"/>
      <c r="W13" s="1"/>
      <c r="X13" s="1"/>
      <c r="Y13" s="1"/>
      <c r="Z13" s="1"/>
    </row>
    <row r="14">
      <c r="A14" s="1"/>
      <c r="B14" s="5" t="s">
        <v>22</v>
      </c>
      <c r="C14" s="5" t="s">
        <v>23</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