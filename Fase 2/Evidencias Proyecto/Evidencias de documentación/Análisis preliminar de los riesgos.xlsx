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 de riesgos " sheetId="1" r:id="rId5"/>
    <sheet state="visible" name="Riesgos" sheetId="2" r:id="rId6"/>
  </sheets>
  <definedNames/>
  <calcPr/>
</workbook>
</file>

<file path=xl/sharedStrings.xml><?xml version="1.0" encoding="utf-8"?>
<sst xmlns="http://schemas.openxmlformats.org/spreadsheetml/2006/main" count="187" uniqueCount="124">
  <si>
    <t>REGISTRO DE RIESGOS</t>
  </si>
  <si>
    <t>Información General del Proyecto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</si>
  <si>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ID Proyecto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</si>
  <si>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Nombre del Proyecto</t>
    </r>
  </si>
  <si>
    <t xml:space="preserve">Proyecto Rutaguest        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</si>
  <si>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Inicio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</si>
  <si>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Fin </t>
    </r>
  </si>
  <si>
    <r>
      <rPr>
        <rFont val="Calibri"/>
        <color rgb="FFFF0000"/>
        <sz val="11.0"/>
      </rPr>
      <t>*</t>
    </r>
    <r>
      <rPr>
        <rFont val="Arial"/>
        <color theme="1"/>
      </rPr>
      <t xml:space="preserve"> Cliente </t>
    </r>
  </si>
  <si>
    <t>Guillermo Varas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</si>
  <si>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Área:</t>
    </r>
  </si>
  <si>
    <t>Automatizacion</t>
  </si>
  <si>
    <r>
      <rPr>
        <rFont val="Calibri"/>
        <color rgb="FFFF0000"/>
        <sz val="11.0"/>
      </rPr>
      <t>*</t>
    </r>
    <r>
      <rPr>
        <rFont val="Arial"/>
        <color theme="1"/>
      </rPr>
      <t xml:space="preserve"> Sponsor</t>
    </r>
  </si>
  <si>
    <t>REFERENCIAS del PLAN DE GESTIÓN DE RIESGOS</t>
  </si>
  <si>
    <t>Impacto</t>
  </si>
  <si>
    <t>Nivel de Probabilidad</t>
  </si>
  <si>
    <t>Valores Probabilidad</t>
  </si>
  <si>
    <t>Comentario</t>
  </si>
  <si>
    <t>Bajo</t>
  </si>
  <si>
    <t>Medio</t>
  </si>
  <si>
    <t>Alto</t>
  </si>
  <si>
    <t>Baja</t>
  </si>
  <si>
    <t>Podría ocurrir</t>
  </si>
  <si>
    <t>Media</t>
  </si>
  <si>
    <t>Es bastante probable</t>
  </si>
  <si>
    <t>Probabilidad</t>
  </si>
  <si>
    <t>Alta</t>
  </si>
  <si>
    <t>Es casi seguro</t>
  </si>
  <si>
    <t>Nivel Impacto</t>
  </si>
  <si>
    <t>Valores de Impacto</t>
  </si>
  <si>
    <t>Atraso menor a un 20%</t>
  </si>
  <si>
    <t>Atraso entre 20% y 50%</t>
  </si>
  <si>
    <t>Proyecto fracasa o atraso de más de 100%</t>
  </si>
  <si>
    <t xml:space="preserve">Toma de Riesgos Rutaguest                                                                                                         
                                                                                                                </t>
  </si>
  <si>
    <t>Creado por: Matias rosales</t>
  </si>
  <si>
    <t>Fecha 
Identificación</t>
  </si>
  <si>
    <t>Identificador</t>
  </si>
  <si>
    <t>Riesgo</t>
  </si>
  <si>
    <t>Fuente o Causa</t>
  </si>
  <si>
    <t>Objetivos Proyecto Impactados</t>
  </si>
  <si>
    <t>Descripción</t>
  </si>
  <si>
    <t>Valor de Probabilidad</t>
  </si>
  <si>
    <t>Valor Impacto</t>
  </si>
  <si>
    <t>Magnitud</t>
  </si>
  <si>
    <t>Asignado a (Responsable)</t>
  </si>
  <si>
    <t>Estrategia</t>
  </si>
  <si>
    <t>Plan de Acción</t>
  </si>
  <si>
    <t>Costo Asociado</t>
  </si>
  <si>
    <t>P1-001</t>
  </si>
  <si>
    <t>Computadora deja de funcionar</t>
  </si>
  <si>
    <t>Computadora no es operativa</t>
  </si>
  <si>
    <t>Modulos a desarrollar</t>
  </si>
  <si>
    <t>Avería o fallo crítico en el equipo informático del desarrollador que detiene el avance en el código y pruebas locales en Android Studio</t>
  </si>
  <si>
    <t>Cristóbal Oyarzun, Sebastián Cabrera y Matias Rosales</t>
  </si>
  <si>
    <t>Mitigar</t>
  </si>
  <si>
    <t>Tener un respaldo de los datos en github y contar con las computadoras duoc</t>
  </si>
  <si>
    <t>P1-002</t>
  </si>
  <si>
    <t>Supabase cambio de politicas de cobro</t>
  </si>
  <si>
    <t>Supabase cambia los planes de los modelos haciendo que ya no exista el plan gratuito</t>
  </si>
  <si>
    <t>Base de datos</t>
  </si>
  <si>
    <t>Eliminación de los planes gratuitos o aumento en las tarifas de almacenamiento en Supabase que imponen costos no presupuestados al proyecto.</t>
  </si>
  <si>
    <t>Buscar otras compañias que ofrescan base de datos gratuitas siguiendo la estructura pogrestSQL</t>
  </si>
  <si>
    <t>P1-003</t>
  </si>
  <si>
    <t>Estimacion cronograma</t>
  </si>
  <si>
    <t>una mala toma de los tiempo de realización del cronograma causan que no se pueda cumplir con los tiempos de entrega previstos de los módulos por sprint</t>
  </si>
  <si>
    <t>Fechas estimadas de entrega</t>
  </si>
  <si>
    <t>Error en el cálculo del esfuerzo de las tareas que provoca retrasos en las fechas de entrega comprometidas para los Sprints</t>
  </si>
  <si>
    <t>Clasificar tareas importantes que afecten al desarrollo de el sprint general y darle mas tiempo</t>
  </si>
  <si>
    <t>P1-004</t>
  </si>
  <si>
    <t>Cambios en la politica de tokens Gemini</t>
  </si>
  <si>
    <t xml:space="preserve">Gemini baja el mínimo de cobro por uso de tokens haciendo que ahora ocupar Gemini tenga un costo para la aplicación Rutaguest  </t>
  </si>
  <si>
    <t xml:space="preserve"> inteligencia artificial</t>
  </si>
  <si>
    <t>juste imprevisto en las políticas de facturación de la API de Gemini que genera costos no contemplados por la ejecución del chatbot</t>
  </si>
  <si>
    <t>Matias Rosales</t>
  </si>
  <si>
    <t>Implementar almacenamiento en caché local para consultas frecuentes del chatbot y limitar peticiones diarias por usuario.</t>
  </si>
  <si>
    <t>P1-005</t>
  </si>
  <si>
    <t>Falta de comunicacion Scrum</t>
  </si>
  <si>
    <t>Se presenta una poca comunicación entre los miembros del proyecto afectando a los tiempos de entrega del proyecto o/y realización de hitos importantes a lo largo del proyecto</t>
  </si>
  <si>
    <t>Todo el proyecto</t>
  </si>
  <si>
    <t>Deficiencia en el flujo de información y falta de coordinación entre los integrantes del equipo durante las actividades del ciclo Scrum.</t>
  </si>
  <si>
    <t>Realizar Daily Scrums diarias de 15 minutos e implementar un canal activo en WhatsApp/Discord para resolver bloqueos</t>
  </si>
  <si>
    <t>P1-006</t>
  </si>
  <si>
    <t>mala definacion historias de usuario</t>
  </si>
  <si>
    <t>Mala toma de los requerimientos o estos requerimientos se pasan a historias de usuario de mala manera</t>
  </si>
  <si>
    <t>La mala toma de requerimientos provocan la creación de historias de usuario que no cumplen con la satisfacción del produc owner</t>
  </si>
  <si>
    <t>Evitar</t>
  </si>
  <si>
    <t>Validar formalmente los Criterios de Aceptación con la Product Owner. antes de comensar un spring</t>
  </si>
  <si>
    <t>P1-007</t>
  </si>
  <si>
    <t>perdida de credenciales para entrar a supabase</t>
  </si>
  <si>
    <t>Se olvidan las credenciales para poder entrar a la plataforma supabase</t>
  </si>
  <si>
    <t>Extravío u olvido de las claves de acceso de administrador a la consola de Supabase, bloqueando la gestión de la base de datos a través de supabase</t>
  </si>
  <si>
    <t>Almacenar las credenciales administradoras en un gestor de contraseñas seguro compartido exclusivamente entre el equipo</t>
  </si>
  <si>
    <t>P1-008</t>
  </si>
  <si>
    <t>Filtracion de datos delicados</t>
  </si>
  <si>
    <t>la aplicación Rutaguest tiene fallos de seguridad importantes que provocan fugas de datos sensibles</t>
  </si>
  <si>
    <t>Vulnerabilidades en la arquitectura del sistema que exponen la información del cliente final a accesos no autorizados</t>
  </si>
  <si>
    <t>Manejar claves mediante variables de entorno encriptadas y aplicar reglas de seguridad de acceso en las tablas</t>
  </si>
  <si>
    <t>P1-009</t>
  </si>
  <si>
    <t>No gusta la interfza aplicacion Rutaguest</t>
  </si>
  <si>
    <t>A la hora de mostrar la interfaz Rutaguest esta no le gusta al product owner</t>
  </si>
  <si>
    <t xml:space="preserve">UI Rutaguest                        </t>
  </si>
  <si>
    <t>Disconformidad por parte de la Product Owner con la estructura/diseño proporcionada por el equipo de proyecto</t>
  </si>
  <si>
    <t>Diseñar prototipos navegables en Figma y obtener la pre-aprobación del diseño UI antes de comenzar la programación</t>
  </si>
  <si>
    <t>P1-010</t>
  </si>
  <si>
    <t>Perdida de contacto con Product owner</t>
  </si>
  <si>
    <t>El product owner falta a las reuniones importantes no pudiendo asegurar que se cumplan los requerimientos de calidad de la aplicación</t>
  </si>
  <si>
    <t>Calidad de software</t>
  </si>
  <si>
    <t>Ausencia o falta de disponibilidad de la Product Owner para asistir a las reuniones clave de validación y aprobación de incrementos</t>
  </si>
  <si>
    <t>Sebastián Cabrera</t>
  </si>
  <si>
    <t>Grabar videos cortos de demostración de la APK para enviarle revisiones asíncronas cuando no pueda asistir a la Review.</t>
  </si>
  <si>
    <t>P1-011</t>
  </si>
  <si>
    <t>Fallo en el traspaso de feedback de la Retrospectiva al siguiente Sprint</t>
  </si>
  <si>
    <t>Las correcciones no son debidamente reconocidas para el equipo de desarrollo haciendo que en entregas posteriores se tengan que hacer más correcciones de las iniciales</t>
  </si>
  <si>
    <t>son mal entendidos y/o omitidos de los compromisos de mejora definidos en la Retrospectiva, provocando que los mismos errores de proceso se repitan en el siguiente Sprint</t>
  </si>
  <si>
    <t>Convertir cada acuerdo de mejora de la Retrospectiva en una tarea formal con responsable e incluirla en el siguiente Sprint Backlog</t>
  </si>
  <si>
    <t>P1-012</t>
  </si>
  <si>
    <t xml:space="preserve">Error de toma de datos Proyectos
</t>
  </si>
  <si>
    <t>no se sigue las estructuras definidas en el modelamiento de los datos haciendo que los datos recopilados no puedan ser subidos a la tabla Proyectos</t>
  </si>
  <si>
    <t>Discrepancia entre la estructura al traspasar los datos físicos a digitales con el esquema de la base de datos que provoca errores al registrar Proyectos</t>
  </si>
  <si>
    <t>Tener listo el moldeamiento de la base de datos y confirmar este al tener 50% de los registros Proyectos</t>
  </si>
  <si>
    <t>P1-013</t>
  </si>
  <si>
    <t xml:space="preserve">Error de toma de datos Empleados
</t>
  </si>
  <si>
    <t>no se sigue las estructuras definidas en el modelamiento de los datos haciendo que los datos recopilados no puedan ser subidos a la tabla Empleados</t>
  </si>
  <si>
    <t>Discrepancia entre la estructura al traspasar los datos físicos a digitales con el esquema de la base de datos que provoca errores al registrar Empleados</t>
  </si>
  <si>
    <t>Tener listo el moldeamiento de la base de datos y confirmar este al tener 50% de los registros Empleados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</si>
</sst>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0.0"/>
      <color rgb="FF000000"/>
      <name val="Arial"/>
      <scheme val="minor"/>
    </font>
    <font>
      <color theme="1"/>
      <name val="Arial"/>
    </font>
    <font/>
    <font>
      <b/>
      <sz val="18.0"/>
      <color theme="1"/>
      <name val="Calibri"/>
    </font>
    <font>
      <b/>
      <sz val="11.0"/>
      <color theme="1"/>
      <name val="Calibri"/>
    </font>
    <font>
      <b/>
      <color theme="1"/>
      <name val="Century Gothic"/>
    </font>
    <font>
      <b/>
      <color theme="1"/>
      <name val="Arial"/>
    </font>
    <font>
      <color rgb="FFFFFFFF"/>
      <name val="Arial"/>
    </font>
    <font>
      <sz val="21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</font>
    <font>
      <color theme="1"/>
      <name val="Century Gothic"/>
    </font>
    <font>
      <color rgb="FF000000"/>
      <name val="&quot;Century Gothic&quot;"/>
    </font>
    <font>
      <color rgb="FF000000"/>
      <name val="Arial"/>
    </font>
    <font>
      <b/>
      <color rgb="FF000000"/>
      <name val="&quot;Century Gothic&quot;"/>
    </font>
    <font>
      <b/>
      <color rgb="FFFFFFFF"/>
      <name val="&quot;Century Gothic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</fills>
  <borders count="3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ill="1" applyFont="1">
      <alignment horizontal="center" shrinkToFit="0" vertical="bottom" wrapText="1"/>
    </xf>
    <xf borderId="6" fillId="0" fontId="2" numFmtId="0" xfId="0" applyBorder="1" applyFont="1"/>
    <xf borderId="2" fillId="3" fontId="4" numFmtId="0" xfId="0" applyAlignment="1" applyBorder="1" applyFill="1" applyFont="1">
      <alignment vertical="bottom"/>
    </xf>
    <xf borderId="7" fillId="4" fontId="1" numFmtId="0" xfId="0" applyAlignment="1" applyBorder="1" applyFill="1" applyFont="1">
      <alignment vertical="bottom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ill="1" applyFont="1">
      <alignment horizontal="left" vertical="bottom"/>
    </xf>
    <xf borderId="11" fillId="0" fontId="2" numFmtId="0" xfId="0" applyBorder="1" applyFont="1"/>
    <xf borderId="12" fillId="2" fontId="1" numFmtId="0" xfId="0" applyAlignment="1" applyBorder="1" applyFill="1" applyFont="1">
      <alignment vertical="bottom"/>
    </xf>
    <xf borderId="10" fillId="2" fontId="1" numFmtId="0" xfId="0" applyAlignment="1" applyBorder="1" applyFill="1" applyFont="1">
      <alignment readingOrder="0" vertical="bottom"/>
    </xf>
    <xf borderId="10" fillId="2" fontId="1" numFmtId="164" xfId="0" applyAlignment="1" applyBorder="1" applyFill="1" applyFont="1" applyNumberFormat="1">
      <alignment vertical="bottom"/>
    </xf>
    <xf borderId="7" fillId="4" fontId="1" numFmtId="0" xfId="0" applyAlignment="1" applyBorder="1" applyFill="1" applyFont="1">
      <alignment readingOrder="0" vertical="bottom"/>
    </xf>
    <xf borderId="13" fillId="2" fontId="1" numFmtId="0" xfId="0" applyAlignment="1" applyBorder="1" applyFill="1" applyFont="1">
      <alignment horizontal="left" readingOrder="0" vertical="bottom"/>
    </xf>
    <xf borderId="14" fillId="4" fontId="1" numFmtId="0" xfId="0" applyAlignment="1" applyBorder="1" applyFill="1" applyFont="1">
      <alignment horizontal="right" vertical="bottom"/>
    </xf>
    <xf borderId="15" fillId="2" fontId="1" numFmtId="0" xfId="0" applyAlignment="1" applyBorder="1" applyFill="1" applyFont="1">
      <alignment horizontal="left" readingOrder="0" vertical="bottom"/>
    </xf>
    <xf borderId="16" fillId="4" fontId="1" numFmtId="0" xfId="0" applyAlignment="1" applyBorder="1" applyFill="1" applyFont="1">
      <alignment readingOrder="0" vertical="bottom"/>
    </xf>
    <xf borderId="17" fillId="0" fontId="2" numFmtId="0" xfId="0" applyBorder="1" applyFont="1"/>
    <xf borderId="18" fillId="0" fontId="2" numFmtId="0" xfId="0" applyBorder="1" applyFont="1"/>
    <xf borderId="19" fillId="2" fontId="1" numFmtId="0" xfId="0" applyAlignment="1" applyBorder="1" applyFill="1" applyFont="1">
      <alignment horizontal="left" readingOrder="0" vertical="bottom"/>
    </xf>
    <xf borderId="20" fillId="0" fontId="2" numFmtId="0" xfId="0" applyBorder="1" applyFont="1"/>
    <xf borderId="21" fillId="2" fontId="1" numFmtId="0" xfId="0" applyAlignment="1" applyBorder="1" applyFill="1" applyFont="1">
      <alignment vertical="bottom"/>
    </xf>
    <xf borderId="22" fillId="3" fontId="5" numFmtId="0" xfId="0" applyAlignment="1" applyBorder="1" applyFill="1" applyFont="1">
      <alignment horizontal="center" shrinkToFit="0" vertical="bottom" wrapText="1"/>
    </xf>
    <xf borderId="23" fillId="0" fontId="2" numFmtId="0" xfId="0" applyBorder="1" applyFont="1"/>
    <xf borderId="24" fillId="0" fontId="2" numFmtId="0" xfId="0" applyBorder="1" applyFont="1"/>
    <xf borderId="25" fillId="2" fontId="1" numFmtId="0" xfId="0" applyAlignment="1" applyBorder="1" applyFill="1" applyFont="1">
      <alignment vertical="bottom"/>
    </xf>
    <xf borderId="26" fillId="2" fontId="1" numFmtId="0" xfId="0" applyAlignment="1" applyBorder="1" applyFill="1" applyFont="1">
      <alignment vertical="bottom"/>
    </xf>
    <xf borderId="10" fillId="4" fontId="6" numFmtId="0" xfId="0" applyAlignment="1" applyBorder="1" applyFill="1" applyFont="1">
      <alignment horizontal="center" shrinkToFit="0" vertical="bottom" wrapText="1"/>
    </xf>
    <xf borderId="27" fillId="4" fontId="6" numFmtId="0" xfId="0" applyAlignment="1" applyBorder="1" applyFill="1" applyFont="1">
      <alignment horizontal="center" shrinkToFit="0" vertical="bottom" wrapText="1"/>
    </xf>
    <xf borderId="14" fillId="4" fontId="6" numFmtId="0" xfId="0" applyAlignment="1" applyBorder="1" applyFill="1" applyFont="1">
      <alignment horizontal="center" shrinkToFit="0" vertical="bottom" wrapText="1"/>
    </xf>
    <xf borderId="15" fillId="4" fontId="6" numFmtId="0" xfId="0" applyAlignment="1" applyBorder="1" applyFill="1" applyFont="1">
      <alignment horizontal="center" shrinkToFit="0" vertical="bottom" wrapText="1"/>
    </xf>
    <xf borderId="27" fillId="4" fontId="1" numFmtId="0" xfId="0" applyAlignment="1" applyBorder="1" applyFill="1" applyFont="1">
      <alignment horizontal="center" shrinkToFit="0" vertical="bottom" wrapText="1"/>
    </xf>
    <xf borderId="27" fillId="5" fontId="7" numFmtId="0" xfId="0" applyAlignment="1" applyBorder="1" applyFill="1" applyFont="1">
      <alignment horizontal="center" shrinkToFit="0" vertical="bottom" wrapText="1"/>
    </xf>
    <xf borderId="15" fillId="5" fontId="7" numFmtId="0" xfId="0" applyAlignment="1" applyBorder="1" applyFill="1" applyFont="1">
      <alignment shrinkToFit="0" vertical="bottom" wrapText="1"/>
    </xf>
    <xf borderId="27" fillId="6" fontId="1" numFmtId="0" xfId="0" applyAlignment="1" applyBorder="1" applyFill="1" applyFont="1">
      <alignment horizontal="center" shrinkToFit="0" vertical="bottom" wrapText="1"/>
    </xf>
    <xf borderId="14" fillId="6" fontId="1" numFmtId="0" xfId="0" applyAlignment="1" applyBorder="1" applyFill="1" applyFont="1">
      <alignment horizontal="center" shrinkToFit="0" vertical="bottom" wrapText="1"/>
    </xf>
    <xf borderId="15" fillId="6" fontId="1" numFmtId="0" xfId="0" applyAlignment="1" applyBorder="1" applyFill="1" applyFont="1">
      <alignment shrinkToFit="0" vertical="bottom" wrapText="1"/>
    </xf>
    <xf borderId="28" fillId="4" fontId="6" numFmtId="0" xfId="0" applyAlignment="1" applyBorder="1" applyFill="1" applyFont="1">
      <alignment horizontal="center" shrinkToFit="0" textRotation="90" vertical="bottom" wrapText="1"/>
    </xf>
    <xf borderId="27" fillId="7" fontId="7" numFmtId="0" xfId="0" applyAlignment="1" applyBorder="1" applyFill="1" applyFont="1">
      <alignment horizontal="center" shrinkToFit="0" vertical="bottom" wrapText="1"/>
    </xf>
    <xf borderId="14" fillId="7" fontId="7" numFmtId="0" xfId="0" applyAlignment="1" applyBorder="1" applyFill="1" applyFont="1">
      <alignment horizontal="center" shrinkToFit="0" vertical="bottom" wrapText="1"/>
    </xf>
    <xf borderId="15" fillId="7" fontId="7" numFmtId="0" xfId="0" applyAlignment="1" applyBorder="1" applyFill="1" applyFont="1">
      <alignment shrinkToFit="0" vertical="bottom" wrapText="1"/>
    </xf>
    <xf borderId="29" fillId="0" fontId="2" numFmtId="0" xfId="0" applyBorder="1" applyFont="1"/>
    <xf borderId="30" fillId="0" fontId="2" numFmtId="0" xfId="0" applyBorder="1" applyFont="1"/>
    <xf borderId="15" fillId="5" fontId="7" numFmtId="0" xfId="0" applyAlignment="1" applyBorder="1" applyFill="1" applyFont="1">
      <alignment shrinkToFit="0" vertical="top" wrapText="1"/>
    </xf>
    <xf borderId="15" fillId="6" fontId="1" numFmtId="0" xfId="0" applyAlignment="1" applyBorder="1" applyFill="1" applyFont="1">
      <alignment shrinkToFit="0" vertical="top" wrapText="1"/>
    </xf>
    <xf borderId="15" fillId="7" fontId="7" numFmtId="0" xfId="0" applyAlignment="1" applyBorder="1" applyFill="1" applyFont="1">
      <alignment shrinkToFit="0" vertical="top" wrapText="1"/>
    </xf>
    <xf borderId="31" fillId="2" fontId="1" numFmtId="0" xfId="0" applyAlignment="1" applyBorder="1" applyFill="1" applyFont="1">
      <alignment vertical="bottom"/>
    </xf>
    <xf borderId="32" fillId="2" fontId="1" numFmtId="0" xfId="0" applyAlignment="1" applyBorder="1" applyFill="1" applyFont="1">
      <alignment vertical="bottom"/>
    </xf>
    <xf borderId="33" fillId="2" fontId="1" numFmtId="0" xfId="0" applyAlignment="1" applyBorder="1" applyFill="1" applyFont="1">
      <alignment vertical="bottom"/>
    </xf>
    <xf borderId="0" fillId="0" fontId="8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27" fillId="4" fontId="11" numFmtId="0" xfId="0" applyAlignment="1" applyBorder="1" applyFill="1" applyFont="1">
      <alignment horizontal="center" shrinkToFit="0" vertical="center" wrapText="1"/>
    </xf>
    <xf borderId="27" fillId="2" fontId="12" numFmtId="164" xfId="0" applyAlignment="1" applyBorder="1" applyFill="1" applyFont="1" applyNumberFormat="1">
      <alignment horizontal="left" readingOrder="0" shrinkToFit="0" vertical="top" wrapText="1"/>
    </xf>
    <xf borderId="27" fillId="8" fontId="12" numFmtId="0" xfId="0" applyAlignment="1" applyBorder="1" applyFill="1" applyFont="1">
      <alignment horizontal="left" readingOrder="0" shrinkToFit="0" vertical="top" wrapText="1"/>
    </xf>
    <xf borderId="27" fillId="0" fontId="13" numFmtId="0" xfId="0" applyAlignment="1" applyBorder="1" applyFont="1">
      <alignment horizontal="left" readingOrder="0" shrinkToFit="0" vertical="top" wrapText="1"/>
    </xf>
    <xf borderId="27" fillId="0" fontId="12" numFmtId="0" xfId="0" applyAlignment="1" applyBorder="1" applyFont="1">
      <alignment horizontal="center" readingOrder="0" shrinkToFit="0" vertical="top" wrapText="1"/>
    </xf>
    <xf borderId="27" fillId="6" fontId="14" numFmtId="0" xfId="0" applyAlignment="1" applyBorder="1" applyFill="1" applyFont="1">
      <alignment horizontal="center" readingOrder="0" shrinkToFit="0" vertical="top" wrapText="1"/>
    </xf>
    <xf borderId="27" fillId="0" fontId="1" numFmtId="0" xfId="0" applyAlignment="1" applyBorder="1" applyFont="1">
      <alignment horizontal="left" readingOrder="0" shrinkToFit="0" vertical="top" wrapText="1"/>
    </xf>
    <xf borderId="27" fillId="0" fontId="12" numFmtId="0" xfId="0" applyAlignment="1" applyBorder="1" applyFont="1">
      <alignment horizontal="left" readingOrder="0" shrinkToFit="0" vertical="top" wrapText="1"/>
    </xf>
    <xf borderId="27" fillId="2" fontId="12" numFmtId="0" xfId="0" applyAlignment="1" applyBorder="1" applyFill="1" applyFont="1">
      <alignment horizontal="left" readingOrder="0" shrinkToFit="0" vertical="top" wrapText="1"/>
    </xf>
    <xf borderId="27" fillId="0" fontId="13" numFmtId="0" xfId="0" applyAlignment="1" applyBorder="1" applyFont="1">
      <alignment horizontal="left" readingOrder="0" shrinkToFit="0" vertical="bottom" wrapText="1"/>
    </xf>
    <xf borderId="27" fillId="0" fontId="12" numFmtId="0" xfId="0" applyAlignment="1" applyBorder="1" applyFont="1">
      <alignment horizontal="center" readingOrder="0" shrinkToFit="0" vertical="bottom" wrapText="1"/>
    </xf>
    <xf borderId="27" fillId="6" fontId="14" numFmtId="0" xfId="0" applyAlignment="1" applyBorder="1" applyFill="1" applyFont="1">
      <alignment horizontal="center" readingOrder="0" shrinkToFit="0" vertical="bottom" wrapText="1"/>
    </xf>
    <xf borderId="27" fillId="0" fontId="12" numFmtId="0" xfId="0" applyAlignment="1" applyBorder="1" applyFont="1">
      <alignment horizontal="left" readingOrder="0" shrinkToFit="0" vertical="bottom" wrapText="1"/>
    </xf>
    <xf borderId="27" fillId="2" fontId="12" numFmtId="0" xfId="0" applyAlignment="1" applyBorder="1" applyFill="1" applyFont="1">
      <alignment horizontal="left" readingOrder="0" shrinkToFit="0" vertical="bottom" wrapText="1"/>
    </xf>
    <xf borderId="27" fillId="2" fontId="11" numFmtId="0" xfId="0" applyAlignment="1" applyBorder="1" applyFill="1" applyFont="1">
      <alignment horizontal="left" shrinkToFit="0" vertical="top" wrapText="1"/>
    </xf>
    <xf borderId="27" fillId="7" fontId="15" numFmtId="0" xfId="0" applyAlignment="1" applyBorder="1" applyFill="1" applyFont="1">
      <alignment horizontal="center" readingOrder="0" shrinkToFit="0" vertical="bottom" wrapText="1"/>
    </xf>
    <xf borderId="27" fillId="9" fontId="15" numFmtId="0" xfId="0" applyAlignment="1" applyBorder="1" applyFill="1" applyFont="1">
      <alignment horizontal="center" readingOrder="0" shrinkToFit="0" vertical="bottom" wrapText="1"/>
    </xf>
    <xf borderId="27" fillId="0" fontId="9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3"/>
      <c r="F2" s="3"/>
      <c r="G2" s="4"/>
      <c r="H2" s="5" t="s">
        <v>0</v>
      </c>
      <c r="I2" s="3"/>
      <c r="J2" s="3"/>
      <c r="K2" s="3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7" t="s">
        <v>1</v>
      </c>
      <c r="D5" s="3"/>
      <c r="E5" s="3"/>
      <c r="F5" s="3"/>
      <c r="G5" s="3"/>
      <c r="H5" s="3"/>
      <c r="I5" s="3"/>
      <c r="J5" s="3"/>
      <c r="K5" s="3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8" t="s">
        <v>2</v>
      </c>
      <c r="D6" s="9"/>
      <c r="E6" s="9"/>
      <c r="F6" s="10"/>
      <c r="G6" s="11">
        <v>1.0</v>
      </c>
      <c r="H6" s="9"/>
      <c r="I6" s="9"/>
      <c r="J6" s="9"/>
      <c r="K6" s="12"/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8" t="s">
        <v>3</v>
      </c>
      <c r="D7" s="9"/>
      <c r="E7" s="9"/>
      <c r="F7" s="10"/>
      <c r="G7" s="14" t="s">
        <v>4</v>
      </c>
      <c r="H7" s="9"/>
      <c r="I7" s="9"/>
      <c r="J7" s="9"/>
      <c r="K7" s="12"/>
      <c r="L7" s="1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8" t="s">
        <v>5</v>
      </c>
      <c r="D8" s="9"/>
      <c r="E8" s="9"/>
      <c r="F8" s="10"/>
      <c r="G8" s="15">
        <v>46244.0</v>
      </c>
      <c r="H8" s="9"/>
      <c r="I8" s="9"/>
      <c r="J8" s="9"/>
      <c r="K8" s="12"/>
      <c r="L8" s="1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8" t="s">
        <v>6</v>
      </c>
      <c r="D9" s="9"/>
      <c r="E9" s="9"/>
      <c r="F9" s="10"/>
      <c r="G9" s="15">
        <v>46344.0</v>
      </c>
      <c r="H9" s="9"/>
      <c r="I9" s="9"/>
      <c r="J9" s="9"/>
      <c r="K9" s="12"/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6" t="s">
        <v>7</v>
      </c>
      <c r="D10" s="9"/>
      <c r="E10" s="9"/>
      <c r="F10" s="10"/>
      <c r="G10" s="17" t="s">
        <v>8</v>
      </c>
      <c r="H10" s="9"/>
      <c r="I10" s="9"/>
      <c r="J10" s="10"/>
      <c r="K10" s="18" t="s">
        <v>9</v>
      </c>
      <c r="L10" s="19" t="s">
        <v>10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20" t="s">
        <v>11</v>
      </c>
      <c r="D11" s="21"/>
      <c r="E11" s="21"/>
      <c r="F11" s="22"/>
      <c r="G11" s="23" t="s">
        <v>8</v>
      </c>
      <c r="H11" s="21"/>
      <c r="I11" s="21"/>
      <c r="J11" s="21"/>
      <c r="K11" s="21"/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25"/>
      <c r="H12" s="25"/>
      <c r="I12" s="25"/>
      <c r="J12" s="25"/>
      <c r="K12" s="2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6" t="s">
        <v>12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/>
      <c r="C16" s="1"/>
      <c r="D16" s="1"/>
      <c r="E16" s="1"/>
      <c r="F16" s="1"/>
      <c r="G16" s="1"/>
      <c r="H16" s="1"/>
      <c r="I16" s="1"/>
      <c r="J16" s="1"/>
      <c r="K16" s="1"/>
      <c r="L16" s="3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1"/>
      <c r="D17" s="1"/>
      <c r="E17" s="1"/>
      <c r="F17" s="31" t="s">
        <v>13</v>
      </c>
      <c r="G17" s="9"/>
      <c r="H17" s="10"/>
      <c r="I17" s="1"/>
      <c r="J17" s="32" t="s">
        <v>14</v>
      </c>
      <c r="K17" s="33" t="s">
        <v>15</v>
      </c>
      <c r="L17" s="34" t="s">
        <v>16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9"/>
      <c r="C18" s="1"/>
      <c r="D18" s="1"/>
      <c r="E18" s="1"/>
      <c r="F18" s="35" t="s">
        <v>17</v>
      </c>
      <c r="G18" s="35" t="s">
        <v>18</v>
      </c>
      <c r="H18" s="35" t="s">
        <v>19</v>
      </c>
      <c r="I18" s="1"/>
      <c r="J18" s="36" t="s">
        <v>20</v>
      </c>
      <c r="K18" s="36">
        <v>1.0</v>
      </c>
      <c r="L18" s="37" t="s">
        <v>21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9"/>
      <c r="C19" s="1"/>
      <c r="D19" s="1"/>
      <c r="E19" s="1"/>
      <c r="F19" s="35">
        <v>1.0</v>
      </c>
      <c r="G19" s="35">
        <v>2.0</v>
      </c>
      <c r="H19" s="35">
        <v>3.0</v>
      </c>
      <c r="I19" s="1"/>
      <c r="J19" s="38" t="s">
        <v>22</v>
      </c>
      <c r="K19" s="39">
        <v>2.0</v>
      </c>
      <c r="L19" s="40" t="s">
        <v>23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9"/>
      <c r="C20" s="41" t="s">
        <v>24</v>
      </c>
      <c r="D20" s="35" t="s">
        <v>20</v>
      </c>
      <c r="E20" s="35">
        <v>1.0</v>
      </c>
      <c r="F20" s="36">
        <f>E20*F19</f>
        <v>1</v>
      </c>
      <c r="G20" s="36">
        <f>E20*G19</f>
        <v>2</v>
      </c>
      <c r="H20" s="38">
        <f>E20*H19</f>
        <v>3</v>
      </c>
      <c r="I20" s="1"/>
      <c r="J20" s="42" t="s">
        <v>25</v>
      </c>
      <c r="K20" s="43">
        <v>3.0</v>
      </c>
      <c r="L20" s="44" t="s">
        <v>26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9"/>
      <c r="C21" s="45"/>
      <c r="D21" s="35" t="s">
        <v>22</v>
      </c>
      <c r="E21" s="35">
        <v>2.0</v>
      </c>
      <c r="F21" s="36">
        <f>E21*F19</f>
        <v>2</v>
      </c>
      <c r="G21" s="38">
        <f>E21*G19</f>
        <v>4</v>
      </c>
      <c r="H21" s="42">
        <f>E21*H19</f>
        <v>6</v>
      </c>
      <c r="I21" s="1"/>
      <c r="J21" s="1"/>
      <c r="K21" s="1"/>
      <c r="L21" s="3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9"/>
      <c r="C22" s="46"/>
      <c r="D22" s="35" t="s">
        <v>25</v>
      </c>
      <c r="E22" s="35">
        <v>3.0</v>
      </c>
      <c r="F22" s="38">
        <f>E22*F19</f>
        <v>3</v>
      </c>
      <c r="G22" s="42">
        <f>E22*G19</f>
        <v>6</v>
      </c>
      <c r="H22" s="42">
        <f>E22*H19</f>
        <v>9</v>
      </c>
      <c r="I22" s="1"/>
      <c r="J22" s="32" t="s">
        <v>27</v>
      </c>
      <c r="K22" s="33" t="s">
        <v>28</v>
      </c>
      <c r="L22" s="34" t="s">
        <v>16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9"/>
      <c r="C23" s="1"/>
      <c r="D23" s="1"/>
      <c r="E23" s="1"/>
      <c r="F23" s="1"/>
      <c r="G23" s="1"/>
      <c r="H23" s="1"/>
      <c r="I23" s="1"/>
      <c r="J23" s="36" t="s">
        <v>17</v>
      </c>
      <c r="K23" s="36">
        <v>1.0</v>
      </c>
      <c r="L23" s="47" t="s">
        <v>29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9"/>
      <c r="C24" s="1"/>
      <c r="D24" s="1"/>
      <c r="E24" s="1"/>
      <c r="F24" s="1"/>
      <c r="G24" s="1"/>
      <c r="H24" s="1"/>
      <c r="I24" s="1"/>
      <c r="J24" s="38" t="s">
        <v>18</v>
      </c>
      <c r="K24" s="39">
        <v>2.0</v>
      </c>
      <c r="L24" s="48" t="s">
        <v>30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9"/>
      <c r="C25" s="1"/>
      <c r="D25" s="1"/>
      <c r="E25" s="1"/>
      <c r="F25" s="1"/>
      <c r="G25" s="1"/>
      <c r="H25" s="1"/>
      <c r="I25" s="1"/>
      <c r="J25" s="42" t="s">
        <v>19</v>
      </c>
      <c r="K25" s="43">
        <v>3.0</v>
      </c>
      <c r="L25" s="49" t="s">
        <v>31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</sheetData>
  <mergeCells count="18">
    <mergeCell ref="B2:G2"/>
    <mergeCell ref="H2:L2"/>
    <mergeCell ref="C5:L5"/>
    <mergeCell ref="C6:F6"/>
    <mergeCell ref="G6:K6"/>
    <mergeCell ref="C7:F7"/>
    <mergeCell ref="G7:K7"/>
    <mergeCell ref="G11:L11"/>
    <mergeCell ref="B15:L15"/>
    <mergeCell ref="F17:H17"/>
    <mergeCell ref="C20:C22"/>
    <mergeCell ref="C8:F8"/>
    <mergeCell ref="G8:K8"/>
    <mergeCell ref="C9:F9"/>
    <mergeCell ref="G9:K9"/>
    <mergeCell ref="C10:F10"/>
    <mergeCell ref="G10:J10"/>
    <mergeCell ref="C11:F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4" max="4" width="41.38"/>
    <col customWidth="1" min="5" max="5" width="25.5"/>
    <col customWidth="1" min="6" max="6" width="52.38"/>
    <col customWidth="1" min="8" max="8" width="8.13"/>
    <col customWidth="1" min="9" max="9" width="8.0"/>
    <col customWidth="1" min="10" max="10" width="8.75"/>
    <col customWidth="1" min="11" max="11" width="10.13"/>
    <col customWidth="1" min="12" max="12" width="15.88"/>
    <col customWidth="1" min="14" max="14" width="40.5"/>
  </cols>
  <sheetData>
    <row r="1" ht="28.5" customHeight="1">
      <c r="A1" s="53" t="s">
        <v>32</v>
      </c>
    </row>
    <row r="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>
      <c r="A3" s="55" t="s">
        <v>33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>
      <c r="A4" s="57" t="s">
        <v>34</v>
      </c>
      <c r="B4" s="57" t="s">
        <v>35</v>
      </c>
      <c r="C4" s="57" t="s">
        <v>36</v>
      </c>
      <c r="D4" s="57" t="s">
        <v>37</v>
      </c>
      <c r="E4" s="57" t="s">
        <v>38</v>
      </c>
      <c r="F4" s="57" t="s">
        <v>39</v>
      </c>
      <c r="G4" s="57" t="s">
        <v>24</v>
      </c>
      <c r="H4" s="57" t="s">
        <v>40</v>
      </c>
      <c r="I4" s="57" t="s">
        <v>13</v>
      </c>
      <c r="J4" s="57" t="s">
        <v>41</v>
      </c>
      <c r="K4" s="57" t="s">
        <v>42</v>
      </c>
      <c r="L4" s="57" t="s">
        <v>43</v>
      </c>
      <c r="M4" s="57" t="s">
        <v>44</v>
      </c>
      <c r="N4" s="57" t="s">
        <v>45</v>
      </c>
      <c r="O4" s="57" t="s">
        <v>46</v>
      </c>
    </row>
    <row r="5">
      <c r="A5" s="58">
        <v>46257.0</v>
      </c>
      <c r="B5" s="59" t="s">
        <v>47</v>
      </c>
      <c r="C5" s="60" t="s">
        <v>48</v>
      </c>
      <c r="D5" s="60" t="s">
        <v>49</v>
      </c>
      <c r="E5" s="60" t="s">
        <v>50</v>
      </c>
      <c r="F5" s="60" t="s">
        <v>51</v>
      </c>
      <c r="G5" s="61" t="s">
        <v>20</v>
      </c>
      <c r="H5" s="61">
        <v>1.0</v>
      </c>
      <c r="I5" s="61" t="s">
        <v>19</v>
      </c>
      <c r="J5" s="61">
        <v>3.0</v>
      </c>
      <c r="K5" s="62">
        <v>3.0</v>
      </c>
      <c r="L5" s="63" t="s">
        <v>52</v>
      </c>
      <c r="M5" s="64" t="s">
        <v>53</v>
      </c>
      <c r="N5" s="65" t="s">
        <v>54</v>
      </c>
      <c r="O5" s="65">
        <v>0.0</v>
      </c>
    </row>
    <row r="6">
      <c r="A6" s="58">
        <v>46257.0</v>
      </c>
      <c r="B6" s="59" t="s">
        <v>55</v>
      </c>
      <c r="C6" s="60" t="s">
        <v>56</v>
      </c>
      <c r="D6" s="60" t="s">
        <v>57</v>
      </c>
      <c r="E6" s="66" t="s">
        <v>58</v>
      </c>
      <c r="F6" s="66" t="s">
        <v>59</v>
      </c>
      <c r="G6" s="67" t="s">
        <v>20</v>
      </c>
      <c r="H6" s="67">
        <v>1.0</v>
      </c>
      <c r="I6" s="67" t="s">
        <v>19</v>
      </c>
      <c r="J6" s="67">
        <v>3.0</v>
      </c>
      <c r="K6" s="68">
        <v>3.0</v>
      </c>
      <c r="L6" s="63" t="s">
        <v>52</v>
      </c>
      <c r="M6" s="69" t="s">
        <v>53</v>
      </c>
      <c r="N6" s="70" t="s">
        <v>60</v>
      </c>
      <c r="O6" s="71">
        <f t="shared" ref="O6:O15" si="1">0</f>
        <v>0</v>
      </c>
    </row>
    <row r="7">
      <c r="A7" s="58">
        <v>46257.0</v>
      </c>
      <c r="B7" s="59" t="s">
        <v>61</v>
      </c>
      <c r="C7" s="60" t="s">
        <v>62</v>
      </c>
      <c r="D7" s="60" t="s">
        <v>63</v>
      </c>
      <c r="E7" s="66" t="s">
        <v>64</v>
      </c>
      <c r="F7" s="66" t="s">
        <v>65</v>
      </c>
      <c r="G7" s="67" t="s">
        <v>20</v>
      </c>
      <c r="H7" s="67">
        <v>1.0</v>
      </c>
      <c r="I7" s="67" t="s">
        <v>19</v>
      </c>
      <c r="J7" s="67">
        <v>3.0</v>
      </c>
      <c r="K7" s="68">
        <v>3.0</v>
      </c>
      <c r="L7" s="63" t="s">
        <v>52</v>
      </c>
      <c r="M7" s="69" t="s">
        <v>53</v>
      </c>
      <c r="N7" s="70" t="s">
        <v>66</v>
      </c>
      <c r="O7" s="71">
        <f t="shared" si="1"/>
        <v>0</v>
      </c>
    </row>
    <row r="8">
      <c r="A8" s="58">
        <v>46257.0</v>
      </c>
      <c r="B8" s="59" t="s">
        <v>67</v>
      </c>
      <c r="C8" s="60" t="s">
        <v>68</v>
      </c>
      <c r="D8" s="60" t="s">
        <v>69</v>
      </c>
      <c r="E8" s="66" t="s">
        <v>70</v>
      </c>
      <c r="F8" s="66" t="s">
        <v>71</v>
      </c>
      <c r="G8" s="67" t="s">
        <v>20</v>
      </c>
      <c r="H8" s="67">
        <v>1.0</v>
      </c>
      <c r="I8" s="67" t="s">
        <v>19</v>
      </c>
      <c r="J8" s="67">
        <v>3.0</v>
      </c>
      <c r="K8" s="68">
        <v>3.0</v>
      </c>
      <c r="L8" s="63" t="s">
        <v>72</v>
      </c>
      <c r="M8" s="69" t="s">
        <v>53</v>
      </c>
      <c r="N8" s="70" t="s">
        <v>73</v>
      </c>
      <c r="O8" s="71">
        <f t="shared" si="1"/>
        <v>0</v>
      </c>
    </row>
    <row r="9">
      <c r="A9" s="58">
        <v>46257.0</v>
      </c>
      <c r="B9" s="59" t="s">
        <v>74</v>
      </c>
      <c r="C9" s="60" t="s">
        <v>75</v>
      </c>
      <c r="D9" s="60" t="s">
        <v>76</v>
      </c>
      <c r="E9" s="66" t="s">
        <v>77</v>
      </c>
      <c r="F9" s="66" t="s">
        <v>78</v>
      </c>
      <c r="G9" s="67" t="s">
        <v>22</v>
      </c>
      <c r="H9" s="67">
        <v>2.0</v>
      </c>
      <c r="I9" s="67" t="s">
        <v>19</v>
      </c>
      <c r="J9" s="67">
        <v>3.0</v>
      </c>
      <c r="K9" s="72">
        <v>6.0</v>
      </c>
      <c r="L9" s="63" t="s">
        <v>52</v>
      </c>
      <c r="M9" s="69" t="s">
        <v>53</v>
      </c>
      <c r="N9" s="70" t="s">
        <v>79</v>
      </c>
      <c r="O9" s="71">
        <f t="shared" si="1"/>
        <v>0</v>
      </c>
    </row>
    <row r="10">
      <c r="A10" s="58">
        <v>46257.0</v>
      </c>
      <c r="B10" s="59" t="s">
        <v>80</v>
      </c>
      <c r="C10" s="60" t="s">
        <v>81</v>
      </c>
      <c r="D10" s="60" t="s">
        <v>82</v>
      </c>
      <c r="E10" s="66" t="s">
        <v>50</v>
      </c>
      <c r="F10" s="66" t="s">
        <v>83</v>
      </c>
      <c r="G10" s="67" t="s">
        <v>20</v>
      </c>
      <c r="H10" s="67">
        <v>1.0</v>
      </c>
      <c r="I10" s="67" t="s">
        <v>19</v>
      </c>
      <c r="J10" s="67">
        <v>3.0</v>
      </c>
      <c r="K10" s="68">
        <v>3.0</v>
      </c>
      <c r="L10" s="63" t="s">
        <v>52</v>
      </c>
      <c r="M10" s="69" t="s">
        <v>84</v>
      </c>
      <c r="N10" s="70" t="s">
        <v>85</v>
      </c>
      <c r="O10" s="71">
        <f t="shared" si="1"/>
        <v>0</v>
      </c>
    </row>
    <row r="11">
      <c r="A11" s="58">
        <v>46257.0</v>
      </c>
      <c r="B11" s="59" t="s">
        <v>86</v>
      </c>
      <c r="C11" s="60" t="s">
        <v>87</v>
      </c>
      <c r="D11" s="60" t="s">
        <v>88</v>
      </c>
      <c r="E11" s="66" t="s">
        <v>58</v>
      </c>
      <c r="F11" s="66" t="s">
        <v>89</v>
      </c>
      <c r="G11" s="67" t="s">
        <v>20</v>
      </c>
      <c r="H11" s="67">
        <v>1.0</v>
      </c>
      <c r="I11" s="67" t="s">
        <v>18</v>
      </c>
      <c r="J11" s="67">
        <v>2.0</v>
      </c>
      <c r="K11" s="73">
        <v>2.0</v>
      </c>
      <c r="L11" s="63" t="s">
        <v>52</v>
      </c>
      <c r="M11" s="69" t="s">
        <v>84</v>
      </c>
      <c r="N11" s="70" t="s">
        <v>90</v>
      </c>
      <c r="O11" s="71">
        <f t="shared" si="1"/>
        <v>0</v>
      </c>
    </row>
    <row r="12">
      <c r="A12" s="58">
        <v>46257.0</v>
      </c>
      <c r="B12" s="59" t="s">
        <v>91</v>
      </c>
      <c r="C12" s="60" t="s">
        <v>92</v>
      </c>
      <c r="D12" s="60" t="s">
        <v>93</v>
      </c>
      <c r="E12" s="66" t="s">
        <v>58</v>
      </c>
      <c r="F12" s="66" t="s">
        <v>94</v>
      </c>
      <c r="G12" s="67" t="s">
        <v>22</v>
      </c>
      <c r="H12" s="67">
        <v>2.0</v>
      </c>
      <c r="I12" s="67" t="s">
        <v>19</v>
      </c>
      <c r="J12" s="67">
        <v>3.0</v>
      </c>
      <c r="K12" s="72">
        <v>6.0</v>
      </c>
      <c r="L12" s="63" t="s">
        <v>52</v>
      </c>
      <c r="M12" s="69" t="s">
        <v>84</v>
      </c>
      <c r="N12" s="70" t="s">
        <v>95</v>
      </c>
      <c r="O12" s="71">
        <f t="shared" si="1"/>
        <v>0</v>
      </c>
    </row>
    <row r="13">
      <c r="A13" s="58">
        <v>46257.0</v>
      </c>
      <c r="B13" s="59" t="s">
        <v>96</v>
      </c>
      <c r="C13" s="60" t="s">
        <v>97</v>
      </c>
      <c r="D13" s="60" t="s">
        <v>98</v>
      </c>
      <c r="E13" s="66" t="s">
        <v>99</v>
      </c>
      <c r="F13" s="66" t="s">
        <v>100</v>
      </c>
      <c r="G13" s="67" t="s">
        <v>22</v>
      </c>
      <c r="H13" s="67">
        <v>2.0</v>
      </c>
      <c r="I13" s="67" t="s">
        <v>17</v>
      </c>
      <c r="J13" s="67">
        <v>1.0</v>
      </c>
      <c r="K13" s="73">
        <v>2.0</v>
      </c>
      <c r="L13" s="63" t="s">
        <v>52</v>
      </c>
      <c r="M13" s="69" t="s">
        <v>84</v>
      </c>
      <c r="N13" s="70" t="s">
        <v>101</v>
      </c>
      <c r="O13" s="71">
        <f t="shared" si="1"/>
        <v>0</v>
      </c>
    </row>
    <row r="14">
      <c r="A14" s="58">
        <v>46257.0</v>
      </c>
      <c r="B14" s="59" t="s">
        <v>102</v>
      </c>
      <c r="C14" s="60" t="s">
        <v>103</v>
      </c>
      <c r="D14" s="60" t="s">
        <v>104</v>
      </c>
      <c r="E14" s="66" t="s">
        <v>105</v>
      </c>
      <c r="F14" s="66" t="s">
        <v>106</v>
      </c>
      <c r="G14" s="67" t="s">
        <v>20</v>
      </c>
      <c r="H14" s="67">
        <v>1.0</v>
      </c>
      <c r="I14" s="67" t="s">
        <v>19</v>
      </c>
      <c r="J14" s="67">
        <v>3.0</v>
      </c>
      <c r="K14" s="68">
        <v>3.0</v>
      </c>
      <c r="L14" s="63" t="s">
        <v>107</v>
      </c>
      <c r="M14" s="69" t="s">
        <v>84</v>
      </c>
      <c r="N14" s="70" t="s">
        <v>108</v>
      </c>
      <c r="O14" s="71">
        <f t="shared" si="1"/>
        <v>0</v>
      </c>
    </row>
    <row r="15">
      <c r="A15" s="58">
        <v>46257.0</v>
      </c>
      <c r="B15" s="59" t="s">
        <v>109</v>
      </c>
      <c r="C15" s="60" t="s">
        <v>110</v>
      </c>
      <c r="D15" s="60" t="s">
        <v>111</v>
      </c>
      <c r="E15" s="66" t="s">
        <v>105</v>
      </c>
      <c r="F15" s="66" t="s">
        <v>112</v>
      </c>
      <c r="G15" s="67" t="s">
        <v>22</v>
      </c>
      <c r="H15" s="67">
        <v>2.0</v>
      </c>
      <c r="I15" s="67" t="s">
        <v>18</v>
      </c>
      <c r="J15" s="67">
        <v>2.0</v>
      </c>
      <c r="K15" s="68">
        <v>4.0</v>
      </c>
      <c r="L15" s="63" t="s">
        <v>107</v>
      </c>
      <c r="M15" s="69" t="s">
        <v>84</v>
      </c>
      <c r="N15" s="70" t="s">
        <v>113</v>
      </c>
      <c r="O15" s="71">
        <f t="shared" si="1"/>
        <v>0</v>
      </c>
    </row>
    <row r="16">
      <c r="A16" s="58">
        <v>46257.0</v>
      </c>
      <c r="B16" s="59" t="s">
        <v>114</v>
      </c>
      <c r="C16" s="74" t="s">
        <v>115</v>
      </c>
      <c r="D16" s="60" t="s">
        <v>116</v>
      </c>
      <c r="E16" s="66" t="s">
        <v>58</v>
      </c>
      <c r="F16" s="66" t="s">
        <v>117</v>
      </c>
      <c r="G16" s="67" t="s">
        <v>20</v>
      </c>
      <c r="H16" s="67">
        <v>1.0</v>
      </c>
      <c r="I16" s="67" t="s">
        <v>19</v>
      </c>
      <c r="J16" s="67">
        <v>3.0</v>
      </c>
      <c r="K16" s="68">
        <v>3.0</v>
      </c>
      <c r="L16" s="63" t="s">
        <v>107</v>
      </c>
      <c r="M16" s="69" t="s">
        <v>84</v>
      </c>
      <c r="N16" s="70" t="s">
        <v>118</v>
      </c>
      <c r="O16" s="70">
        <v>0.0</v>
      </c>
    </row>
    <row r="17">
      <c r="A17" s="58">
        <v>46257.0</v>
      </c>
      <c r="B17" s="59" t="s">
        <v>119</v>
      </c>
      <c r="C17" s="74" t="s">
        <v>120</v>
      </c>
      <c r="D17" s="60" t="s">
        <v>121</v>
      </c>
      <c r="E17" s="66" t="s">
        <v>58</v>
      </c>
      <c r="F17" s="66" t="s">
        <v>122</v>
      </c>
      <c r="G17" s="67" t="s">
        <v>20</v>
      </c>
      <c r="H17" s="67">
        <v>1.0</v>
      </c>
      <c r="I17" s="67" t="s">
        <v>19</v>
      </c>
      <c r="J17" s="67">
        <v>3.0</v>
      </c>
      <c r="K17" s="68">
        <v>3.0</v>
      </c>
      <c r="L17" s="63" t="s">
        <v>107</v>
      </c>
      <c r="M17" s="69" t="s">
        <v>84</v>
      </c>
      <c r="N17" s="70" t="s">
        <v>123</v>
      </c>
      <c r="O17" s="70">
        <v>0.0</v>
      </c>
    </row>
    <row r="18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</row>
    <row r="19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</row>
    <row r="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</row>
  </sheetData>
  <mergeCells count="2">
    <mergeCell ref="A1:O1"/>
    <mergeCell ref="A3:D3"/>
  </mergeCells>
  <dataValidations>
    <dataValidation type="list" allowBlank="1" showErrorMessage="1" sqref="M5:M8">
      <formula1>"Aceptar,Evitar,Delegar,Mitigar"</formula1>
    </dataValidation>
    <dataValidation type="list" allowBlank="1" showErrorMessage="1" sqref="I5:I8">
      <formula1>"Alto,Medio,Bajo"</formula1>
    </dataValidation>
    <dataValidation type="list" allowBlank="1" showErrorMessage="1" sqref="G5:G8">
      <formula1>"Alta,Media,Baja"</formula1>
    </dataValidation>
  </dataValidations>
  <drawing r:id="rId1"/>
</worksheet>
</file>